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ummary" sheetId="2" state="visible" r:id="rId2"/>
    <sheet name="Jobs" sheetId="3" state="visible" r:id="rId3"/>
    <sheet name="Lists" sheetId="4" state="visible" r:id="rId4"/>
  </sheets>
  <definedNames>
    <definedName name="_xlnm._FilterDatabase" localSheetId="2" hidden="1">'Jobs'!$A$1:$M$300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595959"/>
    </font>
    <font>
      <name val="Arial"/>
      <b val="1"/>
      <color rgb="001F3864"/>
      <sz val="16"/>
    </font>
    <font>
      <name val="Arial"/>
    </font>
    <font>
      <name val="Arial"/>
      <b val="1"/>
    </font>
    <font>
      <name val="Arial"/>
      <color rgb="00008000"/>
    </font>
    <font>
      <name val="Arial"/>
      <color rgb="00000000"/>
    </font>
    <font>
      <name val="Arial"/>
      <b val="1"/>
      <color rgb="00FFFFFF"/>
      <sz val="11"/>
    </font>
    <font>
      <name val="Arial"/>
      <b val="1"/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5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8CBAD"/>
        </patternFill>
      </fill>
    </dxf>
    <dxf>
      <font>
        <name val="Arial"/>
        <b val="1"/>
        <color rgb="007F6000"/>
      </font>
      <fill>
        <patternFill patternType="solid">
          <fgColor rgb="00FFE699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1F3864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Tracker</author>
  </authors>
  <commentList>
    <comment ref="I1" authorId="0" shapeId="0">
      <text>
        <t>Automatic - do not type here. Based on Due Date, Date Completed and today's date.</t>
      </text>
    </comment>
    <comment ref="J1" authorId="0" shapeId="0">
      <text>
        <t>Automatic. Negative number = days past due.</t>
      </text>
    </comment>
    <comment ref="K1" authorId="0" shapeId="0">
      <text>
        <t>Automatic. Date Completed minus Date Assigned.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the Splice Job Tracker</t>
        </is>
      </c>
    </row>
    <row r="2">
      <c r="A2" s="2" t="inlineStr"/>
    </row>
    <row r="3">
      <c r="A3" s="3" t="inlineStr">
        <is>
          <t>COLOR KEY</t>
        </is>
      </c>
    </row>
    <row r="4">
      <c r="A4" s="4" t="inlineStr">
        <is>
          <t>Light yellow cells = YOU type here (Jobs tab: Job #, Address, City, Job Type, Crew, dates, Splice Count, Notes).</t>
        </is>
      </c>
    </row>
    <row r="5">
      <c r="A5" s="5" t="inlineStr">
        <is>
          <t>Gray cells = automatic formulas. Don't type in them - they fill themselves in.</t>
        </is>
      </c>
    </row>
    <row r="6">
      <c r="A6" s="2" t="inlineStr"/>
    </row>
    <row r="7">
      <c r="A7" s="3" t="inlineStr">
        <is>
          <t>ADDING A NEW JOB</t>
        </is>
      </c>
    </row>
    <row r="8">
      <c r="A8" s="2" t="inlineStr">
        <is>
          <t>1. Go to the Jobs tab and click the first empty yellow row.</t>
        </is>
      </c>
    </row>
    <row r="9">
      <c r="A9" s="2" t="inlineStr">
        <is>
          <t>2. Type a Job # (this is what 'turns on' the row). Then fill in Address, City, and Due Date.</t>
        </is>
      </c>
    </row>
    <row r="10">
      <c r="A10" s="2" t="inlineStr">
        <is>
          <t>3. Job Type and Crew have dropdown arrows - click the cell and pick from the list.</t>
        </is>
      </c>
    </row>
    <row r="11">
      <c r="A11" s="2" t="inlineStr">
        <is>
          <t>4. Type dates like 9/25/2026. Tip: Ctrl+; types today's date.</t>
        </is>
      </c>
    </row>
    <row r="12">
      <c r="A12" s="2" t="inlineStr">
        <is>
          <t>5. When the job is finished, type the Date Completed. Status changes to 'Complete' automatically.</t>
        </is>
      </c>
    </row>
    <row r="13">
      <c r="A13" s="2" t="inlineStr"/>
    </row>
    <row r="14">
      <c r="A14" s="3" t="inlineStr">
        <is>
          <t>HOW STATUS WORKS (automatic)</t>
        </is>
      </c>
    </row>
    <row r="15">
      <c r="A15" s="2" t="inlineStr">
        <is>
          <t>Complete = a Date Completed is entered.</t>
        </is>
      </c>
    </row>
    <row r="16">
      <c r="A16" s="2" t="inlineStr">
        <is>
          <t>Overdue = not complete and the Due Date has passed. (Red)</t>
        </is>
      </c>
    </row>
    <row r="17">
      <c r="A17" s="2" t="inlineStr">
        <is>
          <t>Due Soon = not complete and due within the next 3 days. (Yellow)</t>
        </is>
      </c>
    </row>
    <row r="18">
      <c r="A18" s="2" t="inlineStr">
        <is>
          <t>Open = everything else. (Blue)</t>
        </is>
      </c>
    </row>
    <row r="19">
      <c r="A19" s="2" t="inlineStr"/>
    </row>
    <row r="20">
      <c r="A20" s="3" t="inlineStr">
        <is>
          <t>EXCEL SKILLS THIS FILE TEACHES - click a gray cell and look at the formula bar</t>
        </is>
      </c>
    </row>
    <row r="21">
      <c r="A21" s="2" t="inlineStr">
        <is>
          <t>IF - the Status column is a chain of IFs: 'if completed, say Complete, otherwise if past due, say Overdue...'</t>
        </is>
      </c>
    </row>
    <row r="22">
      <c r="A22" s="2" t="inlineStr">
        <is>
          <t>TODAY() - always returns today's date, so Status and Days Left update every day by themselves.</t>
        </is>
      </c>
    </row>
    <row r="23">
      <c r="A23" s="2" t="inlineStr">
        <is>
          <t>Date math - Due Date minus TODAY() = days left. Date Completed minus Date Assigned = days it took.</t>
        </is>
      </c>
    </row>
    <row r="24">
      <c r="A24" s="2" t="inlineStr">
        <is>
          <t>COUNTIF / COUNTIFS - the Summary tab counts jobs by status and by crew.</t>
        </is>
      </c>
    </row>
    <row r="25">
      <c r="A25" s="2" t="inlineStr">
        <is>
          <t>SUMIFS - Summary adds up splice counts only for completed jobs.</t>
        </is>
      </c>
    </row>
    <row r="26">
      <c r="A26" s="2" t="inlineStr">
        <is>
          <t>Filters - click the arrow on any Jobs header to show only e.g. Overdue jobs or one crew. (Data &gt; Clear to reset.)</t>
        </is>
      </c>
    </row>
    <row r="27">
      <c r="A27" s="2" t="inlineStr">
        <is>
          <t>Freeze Panes - the header row and Job # stay visible when you scroll.</t>
        </is>
      </c>
    </row>
    <row r="28">
      <c r="A28" s="2" t="inlineStr">
        <is>
          <t>Data Validation - the dropdown lists. Change the choices on the Lists tab.</t>
        </is>
      </c>
    </row>
    <row r="29">
      <c r="A29" s="2" t="inlineStr">
        <is>
          <t>Conditional Formatting - the red/yellow/green status colors (Home &gt; Conditional Formatting &gt; Manage Rules).</t>
        </is>
      </c>
    </row>
    <row r="30">
      <c r="A30" s="2" t="inlineStr"/>
    </row>
    <row r="31">
      <c r="A31" s="3" t="inlineStr">
        <is>
          <t>PRACTICE EXERCISES</t>
        </is>
      </c>
    </row>
    <row r="32">
      <c r="A32" s="2" t="inlineStr">
        <is>
          <t>1. Add a new job J-1009 due tomorrow. Watch its Status say 'Due Soon' and the Summary counts change.</t>
        </is>
      </c>
    </row>
    <row r="33">
      <c r="A33" s="2" t="inlineStr">
        <is>
          <t>2. Put a Date Completed on J-1003. See it turn green and the Overdue count drop.</t>
        </is>
      </c>
    </row>
    <row r="34">
      <c r="A34" s="2" t="inlineStr">
        <is>
          <t>3. Filter the Jobs tab to show only Crew A's jobs.</t>
        </is>
      </c>
    </row>
    <row r="35">
      <c r="A35" s="2" t="inlineStr">
        <is>
          <t>4. Sort the jobs by Due Date (Data &gt; Sort) so the most urgent are on top.</t>
        </is>
      </c>
    </row>
    <row r="36">
      <c r="A36" s="2" t="inlineStr">
        <is>
          <t>5. Add 'Crew D' on the Lists tab, then pick it on a job. It appears on the Summary automatically.</t>
        </is>
      </c>
    </row>
    <row r="37">
      <c r="A37" s="2" t="inlineStr"/>
    </row>
    <row r="38">
      <c r="A38" s="6" t="inlineStr">
        <is>
          <t>The 8 jobs already in the Jobs tab are fake examples - delete them (select rows, right-click &gt; Delete) when you start real tracking.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7" t="inlineStr">
        <is>
          <t>Splice Job Summary</t>
        </is>
      </c>
    </row>
    <row r="2">
      <c r="A2" s="8">
        <f>"As of "&amp;TEXT(TODAY(),"mm/dd/yyyy")</f>
        <v/>
      </c>
    </row>
    <row r="4">
      <c r="A4" s="9" t="inlineStr">
        <is>
          <t>Status</t>
        </is>
      </c>
      <c r="B4" s="9" t="inlineStr">
        <is>
          <t># of Jobs</t>
        </is>
      </c>
      <c r="H4" s="8" t="inlineStr">
        <is>
          <t>Everything on this tab is automatic - it updates as you fill in the Jobs tab.</t>
        </is>
      </c>
    </row>
    <row r="5">
      <c r="A5" s="10" t="inlineStr">
        <is>
          <t>Overdue</t>
        </is>
      </c>
      <c r="B5" s="11">
        <f>COUNTIF(Jobs!$I$2:$I$300,"Overdue")</f>
        <v/>
      </c>
    </row>
    <row r="6">
      <c r="A6" s="10" t="inlineStr">
        <is>
          <t>Due Soon (3 days)</t>
        </is>
      </c>
      <c r="B6" s="11">
        <f>COUNTIF(Jobs!$I$2:$I$300,"Due Soon")</f>
        <v/>
      </c>
    </row>
    <row r="7">
      <c r="A7" s="10" t="inlineStr">
        <is>
          <t>Open</t>
        </is>
      </c>
      <c r="B7" s="11">
        <f>COUNTIF(Jobs!$I$2:$I$300,"Open")</f>
        <v/>
      </c>
    </row>
    <row r="8">
      <c r="A8" s="10" t="inlineStr">
        <is>
          <t>Complete</t>
        </is>
      </c>
      <c r="B8" s="11">
        <f>COUNTIF(Jobs!$I$2:$I$300,"Complete")</f>
        <v/>
      </c>
    </row>
    <row r="9">
      <c r="A9" s="12" t="inlineStr">
        <is>
          <t>Total Jobs</t>
        </is>
      </c>
      <c r="B9" s="13">
        <f>COUNTA(Jobs!$A$2:$A$300)</f>
        <v/>
      </c>
    </row>
    <row r="11">
      <c r="A11" s="10" t="inlineStr">
        <is>
          <t>% Complete</t>
        </is>
      </c>
      <c r="B11" s="14">
        <f>IF(B9=0,0,B8/B9)</f>
        <v/>
      </c>
    </row>
    <row r="12">
      <c r="A12" s="10" t="inlineStr">
        <is>
          <t>Avg Days to Complete</t>
        </is>
      </c>
      <c r="B12" s="15">
        <f>IFERROR(AVERAGE(Jobs!$K$2:$K$300),"-")</f>
        <v/>
      </c>
    </row>
    <row r="13">
      <c r="A13" s="10" t="inlineStr">
        <is>
          <t>Total Splices (completed)</t>
        </is>
      </c>
      <c r="B13" s="11">
        <f>SUMIFS(Jobs!$L$2:$L$300,Jobs!$I$2:$I$300,"Complete")</f>
        <v/>
      </c>
    </row>
    <row r="15">
      <c r="A15" s="9" t="inlineStr">
        <is>
          <t>Crew / Tech</t>
        </is>
      </c>
      <c r="B15" s="9" t="inlineStr">
        <is>
          <t>Overdue</t>
        </is>
      </c>
      <c r="C15" s="9" t="inlineStr">
        <is>
          <t>Due Soon</t>
        </is>
      </c>
      <c r="D15" s="9" t="inlineStr">
        <is>
          <t>Open</t>
        </is>
      </c>
      <c r="E15" s="9" t="inlineStr">
        <is>
          <t>Complete</t>
        </is>
      </c>
      <c r="F15" s="9" t="inlineStr">
        <is>
          <t>Total</t>
        </is>
      </c>
    </row>
    <row r="16">
      <c r="A16" s="16">
        <f>IF(Lists!B2="","",Lists!B2)</f>
        <v/>
      </c>
      <c r="B16" s="17">
        <f>IF($A16="","",COUNTIFS(Jobs!$E$2:$E$300,$A16,Jobs!$I$2:$I$300,"Overdue"))</f>
        <v/>
      </c>
      <c r="C16" s="17">
        <f>IF($A16="","",COUNTIFS(Jobs!$E$2:$E$300,$A16,Jobs!$I$2:$I$300,"Due Soon"))</f>
        <v/>
      </c>
      <c r="D16" s="17">
        <f>IF($A16="","",COUNTIFS(Jobs!$E$2:$E$300,$A16,Jobs!$I$2:$I$300,"Open"))</f>
        <v/>
      </c>
      <c r="E16" s="17">
        <f>IF($A16="","",COUNTIFS(Jobs!$E$2:$E$300,$A16,Jobs!$I$2:$I$300,"Complete"))</f>
        <v/>
      </c>
      <c r="F16" s="17">
        <f>IF($A16="","",COUNTIF(Jobs!$E$2:$E$300,$A16))</f>
        <v/>
      </c>
    </row>
    <row r="17">
      <c r="A17" s="16">
        <f>IF(Lists!B3="","",Lists!B3)</f>
        <v/>
      </c>
      <c r="B17" s="17">
        <f>IF($A17="","",COUNTIFS(Jobs!$E$2:$E$300,$A17,Jobs!$I$2:$I$300,"Overdue"))</f>
        <v/>
      </c>
      <c r="C17" s="17">
        <f>IF($A17="","",COUNTIFS(Jobs!$E$2:$E$300,$A17,Jobs!$I$2:$I$300,"Due Soon"))</f>
        <v/>
      </c>
      <c r="D17" s="17">
        <f>IF($A17="","",COUNTIFS(Jobs!$E$2:$E$300,$A17,Jobs!$I$2:$I$300,"Open"))</f>
        <v/>
      </c>
      <c r="E17" s="17">
        <f>IF($A17="","",COUNTIFS(Jobs!$E$2:$E$300,$A17,Jobs!$I$2:$I$300,"Complete"))</f>
        <v/>
      </c>
      <c r="F17" s="17">
        <f>IF($A17="","",COUNTIF(Jobs!$E$2:$E$300,$A17))</f>
        <v/>
      </c>
    </row>
    <row r="18">
      <c r="A18" s="16">
        <f>IF(Lists!B4="","",Lists!B4)</f>
        <v/>
      </c>
      <c r="B18" s="17">
        <f>IF($A18="","",COUNTIFS(Jobs!$E$2:$E$300,$A18,Jobs!$I$2:$I$300,"Overdue"))</f>
        <v/>
      </c>
      <c r="C18" s="17">
        <f>IF($A18="","",COUNTIFS(Jobs!$E$2:$E$300,$A18,Jobs!$I$2:$I$300,"Due Soon"))</f>
        <v/>
      </c>
      <c r="D18" s="17">
        <f>IF($A18="","",COUNTIFS(Jobs!$E$2:$E$300,$A18,Jobs!$I$2:$I$300,"Open"))</f>
        <v/>
      </c>
      <c r="E18" s="17">
        <f>IF($A18="","",COUNTIFS(Jobs!$E$2:$E$300,$A18,Jobs!$I$2:$I$300,"Complete"))</f>
        <v/>
      </c>
      <c r="F18" s="17">
        <f>IF($A18="","",COUNTIF(Jobs!$E$2:$E$300,$A18))</f>
        <v/>
      </c>
    </row>
    <row r="19">
      <c r="A19" s="16">
        <f>IF(Lists!B5="","",Lists!B5)</f>
        <v/>
      </c>
      <c r="B19" s="17">
        <f>IF($A19="","",COUNTIFS(Jobs!$E$2:$E$300,$A19,Jobs!$I$2:$I$300,"Overdue"))</f>
        <v/>
      </c>
      <c r="C19" s="17">
        <f>IF($A19="","",COUNTIFS(Jobs!$E$2:$E$300,$A19,Jobs!$I$2:$I$300,"Due Soon"))</f>
        <v/>
      </c>
      <c r="D19" s="17">
        <f>IF($A19="","",COUNTIFS(Jobs!$E$2:$E$300,$A19,Jobs!$I$2:$I$300,"Open"))</f>
        <v/>
      </c>
      <c r="E19" s="17">
        <f>IF($A19="","",COUNTIFS(Jobs!$E$2:$E$300,$A19,Jobs!$I$2:$I$300,"Complete"))</f>
        <v/>
      </c>
      <c r="F19" s="17">
        <f>IF($A19="","",COUNTIF(Jobs!$E$2:$E$300,$A19))</f>
        <v/>
      </c>
    </row>
    <row r="20">
      <c r="A20" s="16">
        <f>IF(Lists!B6="","",Lists!B6)</f>
        <v/>
      </c>
      <c r="B20" s="17">
        <f>IF($A20="","",COUNTIFS(Jobs!$E$2:$E$300,$A20,Jobs!$I$2:$I$300,"Overdue"))</f>
        <v/>
      </c>
      <c r="C20" s="17">
        <f>IF($A20="","",COUNTIFS(Jobs!$E$2:$E$300,$A20,Jobs!$I$2:$I$300,"Due Soon"))</f>
        <v/>
      </c>
      <c r="D20" s="17">
        <f>IF($A20="","",COUNTIFS(Jobs!$E$2:$E$300,$A20,Jobs!$I$2:$I$300,"Open"))</f>
        <v/>
      </c>
      <c r="E20" s="17">
        <f>IF($A20="","",COUNTIFS(Jobs!$E$2:$E$300,$A20,Jobs!$I$2:$I$300,"Complete"))</f>
        <v/>
      </c>
      <c r="F20" s="17">
        <f>IF($A20="","",COUNTIF(Jobs!$E$2:$E$300,$A20))</f>
        <v/>
      </c>
    </row>
    <row r="21">
      <c r="A21" s="16">
        <f>IF(Lists!B7="","",Lists!B7)</f>
        <v/>
      </c>
      <c r="B21" s="17">
        <f>IF($A21="","",COUNTIFS(Jobs!$E$2:$E$300,$A21,Jobs!$I$2:$I$300,"Overdue"))</f>
        <v/>
      </c>
      <c r="C21" s="17">
        <f>IF($A21="","",COUNTIFS(Jobs!$E$2:$E$300,$A21,Jobs!$I$2:$I$300,"Due Soon"))</f>
        <v/>
      </c>
      <c r="D21" s="17">
        <f>IF($A21="","",COUNTIFS(Jobs!$E$2:$E$300,$A21,Jobs!$I$2:$I$300,"Open"))</f>
        <v/>
      </c>
      <c r="E21" s="17">
        <f>IF($A21="","",COUNTIFS(Jobs!$E$2:$E$300,$A21,Jobs!$I$2:$I$300,"Complete"))</f>
        <v/>
      </c>
      <c r="F21" s="17">
        <f>IF($A21="","",COUNTIF(Jobs!$E$2:$E$300,$A21))</f>
        <v/>
      </c>
    </row>
    <row r="22">
      <c r="A22" s="16">
        <f>IF(Lists!B8="","",Lists!B8)</f>
        <v/>
      </c>
      <c r="B22" s="17">
        <f>IF($A22="","",COUNTIFS(Jobs!$E$2:$E$300,$A22,Jobs!$I$2:$I$300,"Overdue"))</f>
        <v/>
      </c>
      <c r="C22" s="17">
        <f>IF($A22="","",COUNTIFS(Jobs!$E$2:$E$300,$A22,Jobs!$I$2:$I$300,"Due Soon"))</f>
        <v/>
      </c>
      <c r="D22" s="17">
        <f>IF($A22="","",COUNTIFS(Jobs!$E$2:$E$300,$A22,Jobs!$I$2:$I$300,"Open"))</f>
        <v/>
      </c>
      <c r="E22" s="17">
        <f>IF($A22="","",COUNTIFS(Jobs!$E$2:$E$300,$A22,Jobs!$I$2:$I$300,"Complete"))</f>
        <v/>
      </c>
      <c r="F22" s="17">
        <f>IF($A22="","",COUNTIF(Jobs!$E$2:$E$300,$A22))</f>
        <v/>
      </c>
    </row>
    <row r="23">
      <c r="A23" s="16">
        <f>IF(Lists!B9="","",Lists!B9)</f>
        <v/>
      </c>
      <c r="B23" s="17">
        <f>IF($A23="","",COUNTIFS(Jobs!$E$2:$E$300,$A23,Jobs!$I$2:$I$300,"Overdue"))</f>
        <v/>
      </c>
      <c r="C23" s="17">
        <f>IF($A23="","",COUNTIFS(Jobs!$E$2:$E$300,$A23,Jobs!$I$2:$I$300,"Due Soon"))</f>
        <v/>
      </c>
      <c r="D23" s="17">
        <f>IF($A23="","",COUNTIFS(Jobs!$E$2:$E$300,$A23,Jobs!$I$2:$I$300,"Open"))</f>
        <v/>
      </c>
      <c r="E23" s="17">
        <f>IF($A23="","",COUNTIFS(Jobs!$E$2:$E$300,$A23,Jobs!$I$2:$I$300,"Complete"))</f>
        <v/>
      </c>
      <c r="F23" s="17">
        <f>IF($A23="","",COUNTIF(Jobs!$E$2:$E$300,$A23))</f>
        <v/>
      </c>
    </row>
    <row r="24">
      <c r="A24" s="16">
        <f>IF(Lists!B10="","",Lists!B10)</f>
        <v/>
      </c>
      <c r="B24" s="17">
        <f>IF($A24="","",COUNTIFS(Jobs!$E$2:$E$300,$A24,Jobs!$I$2:$I$300,"Overdue"))</f>
        <v/>
      </c>
      <c r="C24" s="17">
        <f>IF($A24="","",COUNTIFS(Jobs!$E$2:$E$300,$A24,Jobs!$I$2:$I$300,"Due Soon"))</f>
        <v/>
      </c>
      <c r="D24" s="17">
        <f>IF($A24="","",COUNTIFS(Jobs!$E$2:$E$300,$A24,Jobs!$I$2:$I$300,"Open"))</f>
        <v/>
      </c>
      <c r="E24" s="17">
        <f>IF($A24="","",COUNTIFS(Jobs!$E$2:$E$300,$A24,Jobs!$I$2:$I$300,"Complete"))</f>
        <v/>
      </c>
      <c r="F24" s="17">
        <f>IF($A24="","",COUNTIF(Jobs!$E$2:$E$300,$A24))</f>
        <v/>
      </c>
    </row>
  </sheetData>
  <conditionalFormatting sqref="B5">
    <cfRule type="expression" priority="1" dxfId="0">
      <formula>$B$5&gt;0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8" customWidth="1" min="4" max="4"/>
    <col width="16" customWidth="1" min="5" max="5"/>
    <col width="14" customWidth="1" min="6" max="6"/>
    <col width="13" customWidth="1" min="7" max="7"/>
    <col width="16" customWidth="1" min="8" max="8"/>
    <col width="12" customWidth="1" min="9" max="9"/>
    <col width="11" customWidth="1" min="10" max="10"/>
    <col width="17" customWidth="1" min="11" max="11"/>
    <col width="13" customWidth="1" min="12" max="12"/>
    <col width="36" customWidth="1" min="13" max="13"/>
  </cols>
  <sheetData>
    <row r="1" ht="30" customHeight="1">
      <c r="A1" s="18" t="inlineStr">
        <is>
          <t>Job #</t>
        </is>
      </c>
      <c r="B1" s="18" t="inlineStr">
        <is>
          <t>Address</t>
        </is>
      </c>
      <c r="C1" s="18" t="inlineStr">
        <is>
          <t>City</t>
        </is>
      </c>
      <c r="D1" s="18" t="inlineStr">
        <is>
          <t>Job Type</t>
        </is>
      </c>
      <c r="E1" s="18" t="inlineStr">
        <is>
          <t>Crew / Tech</t>
        </is>
      </c>
      <c r="F1" s="18" t="inlineStr">
        <is>
          <t>Date Assigned</t>
        </is>
      </c>
      <c r="G1" s="18" t="inlineStr">
        <is>
          <t>Due Date</t>
        </is>
      </c>
      <c r="H1" s="18" t="inlineStr">
        <is>
          <t>Date Completed</t>
        </is>
      </c>
      <c r="I1" s="18" t="inlineStr">
        <is>
          <t>Status</t>
        </is>
      </c>
      <c r="J1" s="18" t="inlineStr">
        <is>
          <t>Days Left</t>
        </is>
      </c>
      <c r="K1" s="18" t="inlineStr">
        <is>
          <t>Days to Complete</t>
        </is>
      </c>
      <c r="L1" s="18" t="inlineStr">
        <is>
          <t>Splice Count</t>
        </is>
      </c>
      <c r="M1" s="18" t="inlineStr">
        <is>
          <t>Notes</t>
        </is>
      </c>
    </row>
    <row r="2">
      <c r="A2" s="19" t="inlineStr">
        <is>
          <t>J-1001</t>
        </is>
      </c>
      <c r="B2" s="20" t="inlineStr">
        <is>
          <t>1420 Oak St</t>
        </is>
      </c>
      <c r="C2" s="20" t="inlineStr">
        <is>
          <t>Springfield</t>
        </is>
      </c>
      <c r="D2" s="20" t="inlineStr">
        <is>
          <t>Fusion Splice</t>
        </is>
      </c>
      <c r="E2" s="20" t="inlineStr">
        <is>
          <t>Crew A</t>
        </is>
      </c>
      <c r="F2" s="21" t="n">
        <v>46270</v>
      </c>
      <c r="G2" s="21" t="n">
        <v>46280</v>
      </c>
      <c r="H2" s="21" t="n">
        <v>46278</v>
      </c>
      <c r="I2" s="22">
        <f>IF(A2="","",IF(H2&lt;&gt;"","Complete",IF(G2="","Open",IF(G2&lt;TODAY(),"Overdue",IF(G2-TODAY()&lt;=3,"Due Soon","Open")))))</f>
        <v/>
      </c>
      <c r="J2" s="23">
        <f>IF(OR(A2="",G2="",H2&lt;&gt;""),"",G2-TODAY())</f>
        <v/>
      </c>
      <c r="K2" s="23">
        <f>IF(OR(F2="",H2=""),"",H2-F2)</f>
        <v/>
      </c>
      <c r="L2" s="19" t="n">
        <v>48</v>
      </c>
      <c r="M2" s="20" t="inlineStr">
        <is>
          <t>Example row - completed early</t>
        </is>
      </c>
    </row>
    <row r="3">
      <c r="A3" s="19" t="inlineStr">
        <is>
          <t>J-1002</t>
        </is>
      </c>
      <c r="B3" s="20" t="inlineStr">
        <is>
          <t>88 Pine Ave</t>
        </is>
      </c>
      <c r="C3" s="20" t="inlineStr">
        <is>
          <t>Springfield</t>
        </is>
      </c>
      <c r="D3" s="20" t="inlineStr">
        <is>
          <t>Mechanical Splice</t>
        </is>
      </c>
      <c r="E3" s="20" t="inlineStr">
        <is>
          <t>Crew B</t>
        </is>
      </c>
      <c r="F3" s="21" t="n">
        <v>46275</v>
      </c>
      <c r="G3" s="21" t="n">
        <v>46285</v>
      </c>
      <c r="H3" s="21" t="n">
        <v>46287</v>
      </c>
      <c r="I3" s="22">
        <f>IF(A3="","",IF(H3&lt;&gt;"","Complete",IF(G3="","Open",IF(G3&lt;TODAY(),"Overdue",IF(G3-TODAY()&lt;=3,"Due Soon","Open")))))</f>
        <v/>
      </c>
      <c r="J3" s="23">
        <f>IF(OR(A3="",G3="",H3&lt;&gt;""),"",G3-TODAY())</f>
        <v/>
      </c>
      <c r="K3" s="23">
        <f>IF(OR(F3="",H3=""),"",H3-F3)</f>
        <v/>
      </c>
      <c r="L3" s="19" t="n">
        <v>12</v>
      </c>
      <c r="M3" s="20" t="inlineStr">
        <is>
          <t>Finished 2 days late</t>
        </is>
      </c>
    </row>
    <row r="4">
      <c r="A4" s="19" t="inlineStr">
        <is>
          <t>J-1003</t>
        </is>
      </c>
      <c r="B4" s="20" t="inlineStr">
        <is>
          <t>301 River Rd</t>
        </is>
      </c>
      <c r="C4" s="20" t="inlineStr">
        <is>
          <t>Riverton</t>
        </is>
      </c>
      <c r="D4" s="20" t="inlineStr">
        <is>
          <t>Fusion Splice</t>
        </is>
      </c>
      <c r="E4" s="20" t="inlineStr">
        <is>
          <t>Crew A</t>
        </is>
      </c>
      <c r="F4" s="21" t="n">
        <v>46276</v>
      </c>
      <c r="G4" s="21" t="n">
        <v>46288</v>
      </c>
      <c r="H4" s="21" t="n"/>
      <c r="I4" s="22">
        <f>IF(A4="","",IF(H4&lt;&gt;"","Complete",IF(G4="","Open",IF(G4&lt;TODAY(),"Overdue",IF(G4-TODAY()&lt;=3,"Due Soon","Open")))))</f>
        <v/>
      </c>
      <c r="J4" s="23">
        <f>IF(OR(A4="",G4="",H4&lt;&gt;""),"",G4-TODAY())</f>
        <v/>
      </c>
      <c r="K4" s="23">
        <f>IF(OR(F4="",H4=""),"",H4-F4)</f>
        <v/>
      </c>
      <c r="L4" s="19" t="n">
        <v>96</v>
      </c>
      <c r="M4" s="20" t="inlineStr">
        <is>
          <t>Waiting on permit</t>
        </is>
      </c>
    </row>
    <row r="5">
      <c r="A5" s="19" t="inlineStr">
        <is>
          <t>J-1004</t>
        </is>
      </c>
      <c r="B5" s="20" t="inlineStr">
        <is>
          <t>5 Maple Ct</t>
        </is>
      </c>
      <c r="C5" s="20" t="inlineStr">
        <is>
          <t>Springfield</t>
        </is>
      </c>
      <c r="D5" s="20" t="inlineStr">
        <is>
          <t>Repair / Restore</t>
        </is>
      </c>
      <c r="E5" s="20" t="inlineStr">
        <is>
          <t>Crew C</t>
        </is>
      </c>
      <c r="F5" s="21" t="n">
        <v>46286</v>
      </c>
      <c r="G5" s="21" t="n">
        <v>46291</v>
      </c>
      <c r="H5" s="21" t="n"/>
      <c r="I5" s="22">
        <f>IF(A5="","",IF(H5&lt;&gt;"","Complete",IF(G5="","Open",IF(G5&lt;TODAY(),"Overdue",IF(G5-TODAY()&lt;=3,"Due Soon","Open")))))</f>
        <v/>
      </c>
      <c r="J5" s="23">
        <f>IF(OR(A5="",G5="",H5&lt;&gt;""),"",G5-TODAY())</f>
        <v/>
      </c>
      <c r="K5" s="23">
        <f>IF(OR(F5="",H5=""),"",H5-F5)</f>
        <v/>
      </c>
      <c r="L5" s="19" t="n">
        <v>6</v>
      </c>
      <c r="M5" s="20" t="inlineStr">
        <is>
          <t>Fiber cut - priority</t>
        </is>
      </c>
    </row>
    <row r="6">
      <c r="A6" s="19" t="inlineStr">
        <is>
          <t>J-1005</t>
        </is>
      </c>
      <c r="B6" s="20" t="inlineStr">
        <is>
          <t>742 Elm Blvd</t>
        </is>
      </c>
      <c r="C6" s="20" t="inlineStr">
        <is>
          <t>Riverton</t>
        </is>
      </c>
      <c r="D6" s="20" t="inlineStr">
        <is>
          <t>Fusion Splice</t>
        </is>
      </c>
      <c r="E6" s="20" t="inlineStr">
        <is>
          <t>Crew B</t>
        </is>
      </c>
      <c r="F6" s="21" t="n">
        <v>46287</v>
      </c>
      <c r="G6" s="21" t="n">
        <v>46293</v>
      </c>
      <c r="H6" s="21" t="n"/>
      <c r="I6" s="22">
        <f>IF(A6="","",IF(H6&lt;&gt;"","Complete",IF(G6="","Open",IF(G6&lt;TODAY(),"Overdue",IF(G6-TODAY()&lt;=3,"Due Soon","Open")))))</f>
        <v/>
      </c>
      <c r="J6" s="23">
        <f>IF(OR(A6="",G6="",H6&lt;&gt;""),"",G6-TODAY())</f>
        <v/>
      </c>
      <c r="K6" s="23">
        <f>IF(OR(F6="",H6=""),"",H6-F6)</f>
        <v/>
      </c>
      <c r="L6" s="19" t="n">
        <v>24</v>
      </c>
      <c r="M6" s="20" t="inlineStr"/>
    </row>
    <row r="7">
      <c r="A7" s="19" t="inlineStr">
        <is>
          <t>J-1006</t>
        </is>
      </c>
      <c r="B7" s="20" t="inlineStr">
        <is>
          <t>19 Cedar Ln</t>
        </is>
      </c>
      <c r="C7" s="20" t="inlineStr">
        <is>
          <t>Lakeside</t>
        </is>
      </c>
      <c r="D7" s="20" t="inlineStr">
        <is>
          <t>Testing (OTDR)</t>
        </is>
      </c>
      <c r="E7" s="20" t="inlineStr">
        <is>
          <t>Crew C</t>
        </is>
      </c>
      <c r="F7" s="21" t="n">
        <v>46288</v>
      </c>
      <c r="G7" s="21" t="n">
        <v>46300</v>
      </c>
      <c r="H7" s="21" t="n"/>
      <c r="I7" s="22">
        <f>IF(A7="","",IF(H7&lt;&gt;"","Complete",IF(G7="","Open",IF(G7&lt;TODAY(),"Overdue",IF(G7-TODAY()&lt;=3,"Due Soon","Open")))))</f>
        <v/>
      </c>
      <c r="J7" s="23">
        <f>IF(OR(A7="",G7="",H7&lt;&gt;""),"",G7-TODAY())</f>
        <v/>
      </c>
      <c r="K7" s="23">
        <f>IF(OR(F7="",H7=""),"",H7-F7)</f>
        <v/>
      </c>
      <c r="L7" s="19" t="n">
        <v>0</v>
      </c>
      <c r="M7" s="20" t="inlineStr">
        <is>
          <t>Test after splice</t>
        </is>
      </c>
    </row>
    <row r="8">
      <c r="A8" s="19" t="inlineStr">
        <is>
          <t>J-1007</t>
        </is>
      </c>
      <c r="B8" s="20" t="inlineStr">
        <is>
          <t>660 Hill Dr</t>
        </is>
      </c>
      <c r="C8" s="20" t="inlineStr">
        <is>
          <t>Lakeside</t>
        </is>
      </c>
      <c r="D8" s="20" t="inlineStr">
        <is>
          <t>Fusion Splice</t>
        </is>
      </c>
      <c r="E8" s="20" t="inlineStr">
        <is>
          <t>Crew A</t>
        </is>
      </c>
      <c r="F8" s="21" t="n">
        <v>46289</v>
      </c>
      <c r="G8" s="21" t="n">
        <v>46304</v>
      </c>
      <c r="H8" s="21" t="n"/>
      <c r="I8" s="22">
        <f>IF(A8="","",IF(H8&lt;&gt;"","Complete",IF(G8="","Open",IF(G8&lt;TODAY(),"Overdue",IF(G8-TODAY()&lt;=3,"Due Soon","Open")))))</f>
        <v/>
      </c>
      <c r="J8" s="23">
        <f>IF(OR(A8="",G8="",H8&lt;&gt;""),"",G8-TODAY())</f>
        <v/>
      </c>
      <c r="K8" s="23">
        <f>IF(OR(F8="",H8=""),"",H8-F8)</f>
        <v/>
      </c>
      <c r="L8" s="19" t="n">
        <v>144</v>
      </c>
      <c r="M8" s="20" t="inlineStr">
        <is>
          <t>Large count cable</t>
        </is>
      </c>
    </row>
    <row r="9">
      <c r="A9" s="19" t="inlineStr">
        <is>
          <t>J-1008</t>
        </is>
      </c>
      <c r="B9" s="20" t="inlineStr">
        <is>
          <t>2200 Main St</t>
        </is>
      </c>
      <c r="C9" s="20" t="inlineStr">
        <is>
          <t>Springfield</t>
        </is>
      </c>
      <c r="D9" s="20" t="inlineStr">
        <is>
          <t>Mechanical Splice</t>
        </is>
      </c>
      <c r="E9" s="20" t="inlineStr">
        <is>
          <t>Crew B</t>
        </is>
      </c>
      <c r="F9" s="21" t="n">
        <v>46282</v>
      </c>
      <c r="G9" s="21" t="n">
        <v>46289</v>
      </c>
      <c r="H9" s="21" t="n">
        <v>46289</v>
      </c>
      <c r="I9" s="22">
        <f>IF(A9="","",IF(H9&lt;&gt;"","Complete",IF(G9="","Open",IF(G9&lt;TODAY(),"Overdue",IF(G9-TODAY()&lt;=3,"Due Soon","Open")))))</f>
        <v/>
      </c>
      <c r="J9" s="23">
        <f>IF(OR(A9="",G9="",H9&lt;&gt;""),"",G9-TODAY())</f>
        <v/>
      </c>
      <c r="K9" s="23">
        <f>IF(OR(F9="",H9=""),"",H9-F9)</f>
        <v/>
      </c>
      <c r="L9" s="19" t="n">
        <v>8</v>
      </c>
      <c r="M9" s="20" t="inlineStr">
        <is>
          <t>Done on due date</t>
        </is>
      </c>
    </row>
    <row r="10">
      <c r="A10" s="19" t="n"/>
      <c r="B10" s="20" t="n"/>
      <c r="C10" s="20" t="n"/>
      <c r="D10" s="20" t="n"/>
      <c r="E10" s="20" t="n"/>
      <c r="F10" s="21" t="n"/>
      <c r="G10" s="21" t="n"/>
      <c r="H10" s="21" t="n"/>
      <c r="I10" s="22">
        <f>IF(A10="","",IF(H10&lt;&gt;"","Complete",IF(G10="","Open",IF(G10&lt;TODAY(),"Overdue",IF(G10-TODAY()&lt;=3,"Due Soon","Open")))))</f>
        <v/>
      </c>
      <c r="J10" s="23">
        <f>IF(OR(A10="",G10="",H10&lt;&gt;""),"",G10-TODAY())</f>
        <v/>
      </c>
      <c r="K10" s="23">
        <f>IF(OR(F10="",H10=""),"",H10-F10)</f>
        <v/>
      </c>
      <c r="L10" s="19" t="n"/>
      <c r="M10" s="20" t="n"/>
    </row>
    <row r="11">
      <c r="A11" s="19" t="n"/>
      <c r="B11" s="20" t="n"/>
      <c r="C11" s="20" t="n"/>
      <c r="D11" s="20" t="n"/>
      <c r="E11" s="20" t="n"/>
      <c r="F11" s="21" t="n"/>
      <c r="G11" s="21" t="n"/>
      <c r="H11" s="21" t="n"/>
      <c r="I11" s="22">
        <f>IF(A11="","",IF(H11&lt;&gt;"","Complete",IF(G11="","Open",IF(G11&lt;TODAY(),"Overdue",IF(G11-TODAY()&lt;=3,"Due Soon","Open")))))</f>
        <v/>
      </c>
      <c r="J11" s="23">
        <f>IF(OR(A11="",G11="",H11&lt;&gt;""),"",G11-TODAY())</f>
        <v/>
      </c>
      <c r="K11" s="23">
        <f>IF(OR(F11="",H11=""),"",H11-F11)</f>
        <v/>
      </c>
      <c r="L11" s="19" t="n"/>
      <c r="M11" s="20" t="n"/>
    </row>
    <row r="12">
      <c r="A12" s="19" t="n"/>
      <c r="B12" s="20" t="n"/>
      <c r="C12" s="20" t="n"/>
      <c r="D12" s="20" t="n"/>
      <c r="E12" s="20" t="n"/>
      <c r="F12" s="21" t="n"/>
      <c r="G12" s="21" t="n"/>
      <c r="H12" s="21" t="n"/>
      <c r="I12" s="22">
        <f>IF(A12="","",IF(H12&lt;&gt;"","Complete",IF(G12="","Open",IF(G12&lt;TODAY(),"Overdue",IF(G12-TODAY()&lt;=3,"Due Soon","Open")))))</f>
        <v/>
      </c>
      <c r="J12" s="23">
        <f>IF(OR(A12="",G12="",H12&lt;&gt;""),"",G12-TODAY())</f>
        <v/>
      </c>
      <c r="K12" s="23">
        <f>IF(OR(F12="",H12=""),"",H12-F12)</f>
        <v/>
      </c>
      <c r="L12" s="19" t="n"/>
      <c r="M12" s="20" t="n"/>
    </row>
    <row r="13">
      <c r="A13" s="19" t="n"/>
      <c r="B13" s="20" t="n"/>
      <c r="C13" s="20" t="n"/>
      <c r="D13" s="20" t="n"/>
      <c r="E13" s="20" t="n"/>
      <c r="F13" s="21" t="n"/>
      <c r="G13" s="21" t="n"/>
      <c r="H13" s="21" t="n"/>
      <c r="I13" s="22">
        <f>IF(A13="","",IF(H13&lt;&gt;"","Complete",IF(G13="","Open",IF(G13&lt;TODAY(),"Overdue",IF(G13-TODAY()&lt;=3,"Due Soon","Open")))))</f>
        <v/>
      </c>
      <c r="J13" s="23">
        <f>IF(OR(A13="",G13="",H13&lt;&gt;""),"",G13-TODAY())</f>
        <v/>
      </c>
      <c r="K13" s="23">
        <f>IF(OR(F13="",H13=""),"",H13-F13)</f>
        <v/>
      </c>
      <c r="L13" s="19" t="n"/>
      <c r="M13" s="20" t="n"/>
    </row>
    <row r="14">
      <c r="A14" s="19" t="n"/>
      <c r="B14" s="20" t="n"/>
      <c r="C14" s="20" t="n"/>
      <c r="D14" s="20" t="n"/>
      <c r="E14" s="20" t="n"/>
      <c r="F14" s="21" t="n"/>
      <c r="G14" s="21" t="n"/>
      <c r="H14" s="21" t="n"/>
      <c r="I14" s="22">
        <f>IF(A14="","",IF(H14&lt;&gt;"","Complete",IF(G14="","Open",IF(G14&lt;TODAY(),"Overdue",IF(G14-TODAY()&lt;=3,"Due Soon","Open")))))</f>
        <v/>
      </c>
      <c r="J14" s="23">
        <f>IF(OR(A14="",G14="",H14&lt;&gt;""),"",G14-TODAY())</f>
        <v/>
      </c>
      <c r="K14" s="23">
        <f>IF(OR(F14="",H14=""),"",H14-F14)</f>
        <v/>
      </c>
      <c r="L14" s="19" t="n"/>
      <c r="M14" s="20" t="n"/>
    </row>
    <row r="15">
      <c r="A15" s="19" t="n"/>
      <c r="B15" s="20" t="n"/>
      <c r="C15" s="20" t="n"/>
      <c r="D15" s="20" t="n"/>
      <c r="E15" s="20" t="n"/>
      <c r="F15" s="21" t="n"/>
      <c r="G15" s="21" t="n"/>
      <c r="H15" s="21" t="n"/>
      <c r="I15" s="22">
        <f>IF(A15="","",IF(H15&lt;&gt;"","Complete",IF(G15="","Open",IF(G15&lt;TODAY(),"Overdue",IF(G15-TODAY()&lt;=3,"Due Soon","Open")))))</f>
        <v/>
      </c>
      <c r="J15" s="23">
        <f>IF(OR(A15="",G15="",H15&lt;&gt;""),"",G15-TODAY())</f>
        <v/>
      </c>
      <c r="K15" s="23">
        <f>IF(OR(F15="",H15=""),"",H15-F15)</f>
        <v/>
      </c>
      <c r="L15" s="19" t="n"/>
      <c r="M15" s="20" t="n"/>
    </row>
    <row r="16">
      <c r="A16" s="19" t="n"/>
      <c r="B16" s="20" t="n"/>
      <c r="C16" s="20" t="n"/>
      <c r="D16" s="20" t="n"/>
      <c r="E16" s="20" t="n"/>
      <c r="F16" s="21" t="n"/>
      <c r="G16" s="21" t="n"/>
      <c r="H16" s="21" t="n"/>
      <c r="I16" s="22">
        <f>IF(A16="","",IF(H16&lt;&gt;"","Complete",IF(G16="","Open",IF(G16&lt;TODAY(),"Overdue",IF(G16-TODAY()&lt;=3,"Due Soon","Open")))))</f>
        <v/>
      </c>
      <c r="J16" s="23">
        <f>IF(OR(A16="",G16="",H16&lt;&gt;""),"",G16-TODAY())</f>
        <v/>
      </c>
      <c r="K16" s="23">
        <f>IF(OR(F16="",H16=""),"",H16-F16)</f>
        <v/>
      </c>
      <c r="L16" s="19" t="n"/>
      <c r="M16" s="20" t="n"/>
    </row>
    <row r="17">
      <c r="A17" s="19" t="n"/>
      <c r="B17" s="20" t="n"/>
      <c r="C17" s="20" t="n"/>
      <c r="D17" s="20" t="n"/>
      <c r="E17" s="20" t="n"/>
      <c r="F17" s="21" t="n"/>
      <c r="G17" s="21" t="n"/>
      <c r="H17" s="21" t="n"/>
      <c r="I17" s="22">
        <f>IF(A17="","",IF(H17&lt;&gt;"","Complete",IF(G17="","Open",IF(G17&lt;TODAY(),"Overdue",IF(G17-TODAY()&lt;=3,"Due Soon","Open")))))</f>
        <v/>
      </c>
      <c r="J17" s="23">
        <f>IF(OR(A17="",G17="",H17&lt;&gt;""),"",G17-TODAY())</f>
        <v/>
      </c>
      <c r="K17" s="23">
        <f>IF(OR(F17="",H17=""),"",H17-F17)</f>
        <v/>
      </c>
      <c r="L17" s="19" t="n"/>
      <c r="M17" s="20" t="n"/>
    </row>
    <row r="18">
      <c r="A18" s="19" t="n"/>
      <c r="B18" s="20" t="n"/>
      <c r="C18" s="20" t="n"/>
      <c r="D18" s="20" t="n"/>
      <c r="E18" s="20" t="n"/>
      <c r="F18" s="21" t="n"/>
      <c r="G18" s="21" t="n"/>
      <c r="H18" s="21" t="n"/>
      <c r="I18" s="22">
        <f>IF(A18="","",IF(H18&lt;&gt;"","Complete",IF(G18="","Open",IF(G18&lt;TODAY(),"Overdue",IF(G18-TODAY()&lt;=3,"Due Soon","Open")))))</f>
        <v/>
      </c>
      <c r="J18" s="23">
        <f>IF(OR(A18="",G18="",H18&lt;&gt;""),"",G18-TODAY())</f>
        <v/>
      </c>
      <c r="K18" s="23">
        <f>IF(OR(F18="",H18=""),"",H18-F18)</f>
        <v/>
      </c>
      <c r="L18" s="19" t="n"/>
      <c r="M18" s="20" t="n"/>
    </row>
    <row r="19">
      <c r="A19" s="19" t="n"/>
      <c r="B19" s="20" t="n"/>
      <c r="C19" s="20" t="n"/>
      <c r="D19" s="20" t="n"/>
      <c r="E19" s="20" t="n"/>
      <c r="F19" s="21" t="n"/>
      <c r="G19" s="21" t="n"/>
      <c r="H19" s="21" t="n"/>
      <c r="I19" s="22">
        <f>IF(A19="","",IF(H19&lt;&gt;"","Complete",IF(G19="","Open",IF(G19&lt;TODAY(),"Overdue",IF(G19-TODAY()&lt;=3,"Due Soon","Open")))))</f>
        <v/>
      </c>
      <c r="J19" s="23">
        <f>IF(OR(A19="",G19="",H19&lt;&gt;""),"",G19-TODAY())</f>
        <v/>
      </c>
      <c r="K19" s="23">
        <f>IF(OR(F19="",H19=""),"",H19-F19)</f>
        <v/>
      </c>
      <c r="L19" s="19" t="n"/>
      <c r="M19" s="20" t="n"/>
    </row>
    <row r="20">
      <c r="A20" s="19" t="n"/>
      <c r="B20" s="20" t="n"/>
      <c r="C20" s="20" t="n"/>
      <c r="D20" s="20" t="n"/>
      <c r="E20" s="20" t="n"/>
      <c r="F20" s="21" t="n"/>
      <c r="G20" s="21" t="n"/>
      <c r="H20" s="21" t="n"/>
      <c r="I20" s="22">
        <f>IF(A20="","",IF(H20&lt;&gt;"","Complete",IF(G20="","Open",IF(G20&lt;TODAY(),"Overdue",IF(G20-TODAY()&lt;=3,"Due Soon","Open")))))</f>
        <v/>
      </c>
      <c r="J20" s="23">
        <f>IF(OR(A20="",G20="",H20&lt;&gt;""),"",G20-TODAY())</f>
        <v/>
      </c>
      <c r="K20" s="23">
        <f>IF(OR(F20="",H20=""),"",H20-F20)</f>
        <v/>
      </c>
      <c r="L20" s="19" t="n"/>
      <c r="M20" s="20" t="n"/>
    </row>
    <row r="21">
      <c r="A21" s="19" t="n"/>
      <c r="B21" s="20" t="n"/>
      <c r="C21" s="20" t="n"/>
      <c r="D21" s="20" t="n"/>
      <c r="E21" s="20" t="n"/>
      <c r="F21" s="21" t="n"/>
      <c r="G21" s="21" t="n"/>
      <c r="H21" s="21" t="n"/>
      <c r="I21" s="22">
        <f>IF(A21="","",IF(H21&lt;&gt;"","Complete",IF(G21="","Open",IF(G21&lt;TODAY(),"Overdue",IF(G21-TODAY()&lt;=3,"Due Soon","Open")))))</f>
        <v/>
      </c>
      <c r="J21" s="23">
        <f>IF(OR(A21="",G21="",H21&lt;&gt;""),"",G21-TODAY())</f>
        <v/>
      </c>
      <c r="K21" s="23">
        <f>IF(OR(F21="",H21=""),"",H21-F21)</f>
        <v/>
      </c>
      <c r="L21" s="19" t="n"/>
      <c r="M21" s="20" t="n"/>
    </row>
    <row r="22">
      <c r="A22" s="19" t="n"/>
      <c r="B22" s="20" t="n"/>
      <c r="C22" s="20" t="n"/>
      <c r="D22" s="20" t="n"/>
      <c r="E22" s="20" t="n"/>
      <c r="F22" s="21" t="n"/>
      <c r="G22" s="21" t="n"/>
      <c r="H22" s="21" t="n"/>
      <c r="I22" s="22">
        <f>IF(A22="","",IF(H22&lt;&gt;"","Complete",IF(G22="","Open",IF(G22&lt;TODAY(),"Overdue",IF(G22-TODAY()&lt;=3,"Due Soon","Open")))))</f>
        <v/>
      </c>
      <c r="J22" s="23">
        <f>IF(OR(A22="",G22="",H22&lt;&gt;""),"",G22-TODAY())</f>
        <v/>
      </c>
      <c r="K22" s="23">
        <f>IF(OR(F22="",H22=""),"",H22-F22)</f>
        <v/>
      </c>
      <c r="L22" s="19" t="n"/>
      <c r="M22" s="20" t="n"/>
    </row>
    <row r="23">
      <c r="A23" s="19" t="n"/>
      <c r="B23" s="20" t="n"/>
      <c r="C23" s="20" t="n"/>
      <c r="D23" s="20" t="n"/>
      <c r="E23" s="20" t="n"/>
      <c r="F23" s="21" t="n"/>
      <c r="G23" s="21" t="n"/>
      <c r="H23" s="21" t="n"/>
      <c r="I23" s="22">
        <f>IF(A23="","",IF(H23&lt;&gt;"","Complete",IF(G23="","Open",IF(G23&lt;TODAY(),"Overdue",IF(G23-TODAY()&lt;=3,"Due Soon","Open")))))</f>
        <v/>
      </c>
      <c r="J23" s="23">
        <f>IF(OR(A23="",G23="",H23&lt;&gt;""),"",G23-TODAY())</f>
        <v/>
      </c>
      <c r="K23" s="23">
        <f>IF(OR(F23="",H23=""),"",H23-F23)</f>
        <v/>
      </c>
      <c r="L23" s="19" t="n"/>
      <c r="M23" s="20" t="n"/>
    </row>
    <row r="24">
      <c r="A24" s="19" t="n"/>
      <c r="B24" s="20" t="n"/>
      <c r="C24" s="20" t="n"/>
      <c r="D24" s="20" t="n"/>
      <c r="E24" s="20" t="n"/>
      <c r="F24" s="21" t="n"/>
      <c r="G24" s="21" t="n"/>
      <c r="H24" s="21" t="n"/>
      <c r="I24" s="22">
        <f>IF(A24="","",IF(H24&lt;&gt;"","Complete",IF(G24="","Open",IF(G24&lt;TODAY(),"Overdue",IF(G24-TODAY()&lt;=3,"Due Soon","Open")))))</f>
        <v/>
      </c>
      <c r="J24" s="23">
        <f>IF(OR(A24="",G24="",H24&lt;&gt;""),"",G24-TODAY())</f>
        <v/>
      </c>
      <c r="K24" s="23">
        <f>IF(OR(F24="",H24=""),"",H24-F24)</f>
        <v/>
      </c>
      <c r="L24" s="19" t="n"/>
      <c r="M24" s="20" t="n"/>
    </row>
    <row r="25">
      <c r="A25" s="19" t="n"/>
      <c r="B25" s="20" t="n"/>
      <c r="C25" s="20" t="n"/>
      <c r="D25" s="20" t="n"/>
      <c r="E25" s="20" t="n"/>
      <c r="F25" s="21" t="n"/>
      <c r="G25" s="21" t="n"/>
      <c r="H25" s="21" t="n"/>
      <c r="I25" s="22">
        <f>IF(A25="","",IF(H25&lt;&gt;"","Complete",IF(G25="","Open",IF(G25&lt;TODAY(),"Overdue",IF(G25-TODAY()&lt;=3,"Due Soon","Open")))))</f>
        <v/>
      </c>
      <c r="J25" s="23">
        <f>IF(OR(A25="",G25="",H25&lt;&gt;""),"",G25-TODAY())</f>
        <v/>
      </c>
      <c r="K25" s="23">
        <f>IF(OR(F25="",H25=""),"",H25-F25)</f>
        <v/>
      </c>
      <c r="L25" s="19" t="n"/>
      <c r="M25" s="20" t="n"/>
    </row>
    <row r="26">
      <c r="A26" s="19" t="n"/>
      <c r="B26" s="20" t="n"/>
      <c r="C26" s="20" t="n"/>
      <c r="D26" s="20" t="n"/>
      <c r="E26" s="20" t="n"/>
      <c r="F26" s="21" t="n"/>
      <c r="G26" s="21" t="n"/>
      <c r="H26" s="21" t="n"/>
      <c r="I26" s="22">
        <f>IF(A26="","",IF(H26&lt;&gt;"","Complete",IF(G26="","Open",IF(G26&lt;TODAY(),"Overdue",IF(G26-TODAY()&lt;=3,"Due Soon","Open")))))</f>
        <v/>
      </c>
      <c r="J26" s="23">
        <f>IF(OR(A26="",G26="",H26&lt;&gt;""),"",G26-TODAY())</f>
        <v/>
      </c>
      <c r="K26" s="23">
        <f>IF(OR(F26="",H26=""),"",H26-F26)</f>
        <v/>
      </c>
      <c r="L26" s="19" t="n"/>
      <c r="M26" s="20" t="n"/>
    </row>
    <row r="27">
      <c r="A27" s="19" t="n"/>
      <c r="B27" s="20" t="n"/>
      <c r="C27" s="20" t="n"/>
      <c r="D27" s="20" t="n"/>
      <c r="E27" s="20" t="n"/>
      <c r="F27" s="21" t="n"/>
      <c r="G27" s="21" t="n"/>
      <c r="H27" s="21" t="n"/>
      <c r="I27" s="22">
        <f>IF(A27="","",IF(H27&lt;&gt;"","Complete",IF(G27="","Open",IF(G27&lt;TODAY(),"Overdue",IF(G27-TODAY()&lt;=3,"Due Soon","Open")))))</f>
        <v/>
      </c>
      <c r="J27" s="23">
        <f>IF(OR(A27="",G27="",H27&lt;&gt;""),"",G27-TODAY())</f>
        <v/>
      </c>
      <c r="K27" s="23">
        <f>IF(OR(F27="",H27=""),"",H27-F27)</f>
        <v/>
      </c>
      <c r="L27" s="19" t="n"/>
      <c r="M27" s="20" t="n"/>
    </row>
    <row r="28">
      <c r="A28" s="19" t="n"/>
      <c r="B28" s="20" t="n"/>
      <c r="C28" s="20" t="n"/>
      <c r="D28" s="20" t="n"/>
      <c r="E28" s="20" t="n"/>
      <c r="F28" s="21" t="n"/>
      <c r="G28" s="21" t="n"/>
      <c r="H28" s="21" t="n"/>
      <c r="I28" s="22">
        <f>IF(A28="","",IF(H28&lt;&gt;"","Complete",IF(G28="","Open",IF(G28&lt;TODAY(),"Overdue",IF(G28-TODAY()&lt;=3,"Due Soon","Open")))))</f>
        <v/>
      </c>
      <c r="J28" s="23">
        <f>IF(OR(A28="",G28="",H28&lt;&gt;""),"",G28-TODAY())</f>
        <v/>
      </c>
      <c r="K28" s="23">
        <f>IF(OR(F28="",H28=""),"",H28-F28)</f>
        <v/>
      </c>
      <c r="L28" s="19" t="n"/>
      <c r="M28" s="20" t="n"/>
    </row>
    <row r="29">
      <c r="A29" s="19" t="n"/>
      <c r="B29" s="20" t="n"/>
      <c r="C29" s="20" t="n"/>
      <c r="D29" s="20" t="n"/>
      <c r="E29" s="20" t="n"/>
      <c r="F29" s="21" t="n"/>
      <c r="G29" s="21" t="n"/>
      <c r="H29" s="21" t="n"/>
      <c r="I29" s="22">
        <f>IF(A29="","",IF(H29&lt;&gt;"","Complete",IF(G29="","Open",IF(G29&lt;TODAY(),"Overdue",IF(G29-TODAY()&lt;=3,"Due Soon","Open")))))</f>
        <v/>
      </c>
      <c r="J29" s="23">
        <f>IF(OR(A29="",G29="",H29&lt;&gt;""),"",G29-TODAY())</f>
        <v/>
      </c>
      <c r="K29" s="23">
        <f>IF(OR(F29="",H29=""),"",H29-F29)</f>
        <v/>
      </c>
      <c r="L29" s="19" t="n"/>
      <c r="M29" s="20" t="n"/>
    </row>
    <row r="30">
      <c r="A30" s="19" t="n"/>
      <c r="B30" s="20" t="n"/>
      <c r="C30" s="20" t="n"/>
      <c r="D30" s="20" t="n"/>
      <c r="E30" s="20" t="n"/>
      <c r="F30" s="21" t="n"/>
      <c r="G30" s="21" t="n"/>
      <c r="H30" s="21" t="n"/>
      <c r="I30" s="22">
        <f>IF(A30="","",IF(H30&lt;&gt;"","Complete",IF(G30="","Open",IF(G30&lt;TODAY(),"Overdue",IF(G30-TODAY()&lt;=3,"Due Soon","Open")))))</f>
        <v/>
      </c>
      <c r="J30" s="23">
        <f>IF(OR(A30="",G30="",H30&lt;&gt;""),"",G30-TODAY())</f>
        <v/>
      </c>
      <c r="K30" s="23">
        <f>IF(OR(F30="",H30=""),"",H30-F30)</f>
        <v/>
      </c>
      <c r="L30" s="19" t="n"/>
      <c r="M30" s="20" t="n"/>
    </row>
    <row r="31">
      <c r="A31" s="19" t="n"/>
      <c r="B31" s="20" t="n"/>
      <c r="C31" s="20" t="n"/>
      <c r="D31" s="20" t="n"/>
      <c r="E31" s="20" t="n"/>
      <c r="F31" s="21" t="n"/>
      <c r="G31" s="21" t="n"/>
      <c r="H31" s="21" t="n"/>
      <c r="I31" s="22">
        <f>IF(A31="","",IF(H31&lt;&gt;"","Complete",IF(G31="","Open",IF(G31&lt;TODAY(),"Overdue",IF(G31-TODAY()&lt;=3,"Due Soon","Open")))))</f>
        <v/>
      </c>
      <c r="J31" s="23">
        <f>IF(OR(A31="",G31="",H31&lt;&gt;""),"",G31-TODAY())</f>
        <v/>
      </c>
      <c r="K31" s="23">
        <f>IF(OR(F31="",H31=""),"",H31-F31)</f>
        <v/>
      </c>
      <c r="L31" s="19" t="n"/>
      <c r="M31" s="20" t="n"/>
    </row>
    <row r="32">
      <c r="A32" s="19" t="n"/>
      <c r="B32" s="20" t="n"/>
      <c r="C32" s="20" t="n"/>
      <c r="D32" s="20" t="n"/>
      <c r="E32" s="20" t="n"/>
      <c r="F32" s="21" t="n"/>
      <c r="G32" s="21" t="n"/>
      <c r="H32" s="21" t="n"/>
      <c r="I32" s="22">
        <f>IF(A32="","",IF(H32&lt;&gt;"","Complete",IF(G32="","Open",IF(G32&lt;TODAY(),"Overdue",IF(G32-TODAY()&lt;=3,"Due Soon","Open")))))</f>
        <v/>
      </c>
      <c r="J32" s="23">
        <f>IF(OR(A32="",G32="",H32&lt;&gt;""),"",G32-TODAY())</f>
        <v/>
      </c>
      <c r="K32" s="23">
        <f>IF(OR(F32="",H32=""),"",H32-F32)</f>
        <v/>
      </c>
      <c r="L32" s="19" t="n"/>
      <c r="M32" s="20" t="n"/>
    </row>
    <row r="33">
      <c r="A33" s="19" t="n"/>
      <c r="B33" s="20" t="n"/>
      <c r="C33" s="20" t="n"/>
      <c r="D33" s="20" t="n"/>
      <c r="E33" s="20" t="n"/>
      <c r="F33" s="21" t="n"/>
      <c r="G33" s="21" t="n"/>
      <c r="H33" s="21" t="n"/>
      <c r="I33" s="22">
        <f>IF(A33="","",IF(H33&lt;&gt;"","Complete",IF(G33="","Open",IF(G33&lt;TODAY(),"Overdue",IF(G33-TODAY()&lt;=3,"Due Soon","Open")))))</f>
        <v/>
      </c>
      <c r="J33" s="23">
        <f>IF(OR(A33="",G33="",H33&lt;&gt;""),"",G33-TODAY())</f>
        <v/>
      </c>
      <c r="K33" s="23">
        <f>IF(OR(F33="",H33=""),"",H33-F33)</f>
        <v/>
      </c>
      <c r="L33" s="19" t="n"/>
      <c r="M33" s="20" t="n"/>
    </row>
    <row r="34">
      <c r="A34" s="19" t="n"/>
      <c r="B34" s="20" t="n"/>
      <c r="C34" s="20" t="n"/>
      <c r="D34" s="20" t="n"/>
      <c r="E34" s="20" t="n"/>
      <c r="F34" s="21" t="n"/>
      <c r="G34" s="21" t="n"/>
      <c r="H34" s="21" t="n"/>
      <c r="I34" s="22">
        <f>IF(A34="","",IF(H34&lt;&gt;"","Complete",IF(G34="","Open",IF(G34&lt;TODAY(),"Overdue",IF(G34-TODAY()&lt;=3,"Due Soon","Open")))))</f>
        <v/>
      </c>
      <c r="J34" s="23">
        <f>IF(OR(A34="",G34="",H34&lt;&gt;""),"",G34-TODAY())</f>
        <v/>
      </c>
      <c r="K34" s="23">
        <f>IF(OR(F34="",H34=""),"",H34-F34)</f>
        <v/>
      </c>
      <c r="L34" s="19" t="n"/>
      <c r="M34" s="20" t="n"/>
    </row>
    <row r="35">
      <c r="A35" s="19" t="n"/>
      <c r="B35" s="20" t="n"/>
      <c r="C35" s="20" t="n"/>
      <c r="D35" s="20" t="n"/>
      <c r="E35" s="20" t="n"/>
      <c r="F35" s="21" t="n"/>
      <c r="G35" s="21" t="n"/>
      <c r="H35" s="21" t="n"/>
      <c r="I35" s="22">
        <f>IF(A35="","",IF(H35&lt;&gt;"","Complete",IF(G35="","Open",IF(G35&lt;TODAY(),"Overdue",IF(G35-TODAY()&lt;=3,"Due Soon","Open")))))</f>
        <v/>
      </c>
      <c r="J35" s="23">
        <f>IF(OR(A35="",G35="",H35&lt;&gt;""),"",G35-TODAY())</f>
        <v/>
      </c>
      <c r="K35" s="23">
        <f>IF(OR(F35="",H35=""),"",H35-F35)</f>
        <v/>
      </c>
      <c r="L35" s="19" t="n"/>
      <c r="M35" s="20" t="n"/>
    </row>
    <row r="36">
      <c r="A36" s="19" t="n"/>
      <c r="B36" s="20" t="n"/>
      <c r="C36" s="20" t="n"/>
      <c r="D36" s="20" t="n"/>
      <c r="E36" s="20" t="n"/>
      <c r="F36" s="21" t="n"/>
      <c r="G36" s="21" t="n"/>
      <c r="H36" s="21" t="n"/>
      <c r="I36" s="22">
        <f>IF(A36="","",IF(H36&lt;&gt;"","Complete",IF(G36="","Open",IF(G36&lt;TODAY(),"Overdue",IF(G36-TODAY()&lt;=3,"Due Soon","Open")))))</f>
        <v/>
      </c>
      <c r="J36" s="23">
        <f>IF(OR(A36="",G36="",H36&lt;&gt;""),"",G36-TODAY())</f>
        <v/>
      </c>
      <c r="K36" s="23">
        <f>IF(OR(F36="",H36=""),"",H36-F36)</f>
        <v/>
      </c>
      <c r="L36" s="19" t="n"/>
      <c r="M36" s="20" t="n"/>
    </row>
    <row r="37">
      <c r="A37" s="19" t="n"/>
      <c r="B37" s="20" t="n"/>
      <c r="C37" s="20" t="n"/>
      <c r="D37" s="20" t="n"/>
      <c r="E37" s="20" t="n"/>
      <c r="F37" s="21" t="n"/>
      <c r="G37" s="21" t="n"/>
      <c r="H37" s="21" t="n"/>
      <c r="I37" s="22">
        <f>IF(A37="","",IF(H37&lt;&gt;"","Complete",IF(G37="","Open",IF(G37&lt;TODAY(),"Overdue",IF(G37-TODAY()&lt;=3,"Due Soon","Open")))))</f>
        <v/>
      </c>
      <c r="J37" s="23">
        <f>IF(OR(A37="",G37="",H37&lt;&gt;""),"",G37-TODAY())</f>
        <v/>
      </c>
      <c r="K37" s="23">
        <f>IF(OR(F37="",H37=""),"",H37-F37)</f>
        <v/>
      </c>
      <c r="L37" s="19" t="n"/>
      <c r="M37" s="20" t="n"/>
    </row>
    <row r="38">
      <c r="A38" s="19" t="n"/>
      <c r="B38" s="20" t="n"/>
      <c r="C38" s="20" t="n"/>
      <c r="D38" s="20" t="n"/>
      <c r="E38" s="20" t="n"/>
      <c r="F38" s="21" t="n"/>
      <c r="G38" s="21" t="n"/>
      <c r="H38" s="21" t="n"/>
      <c r="I38" s="22">
        <f>IF(A38="","",IF(H38&lt;&gt;"","Complete",IF(G38="","Open",IF(G38&lt;TODAY(),"Overdue",IF(G38-TODAY()&lt;=3,"Due Soon","Open")))))</f>
        <v/>
      </c>
      <c r="J38" s="23">
        <f>IF(OR(A38="",G38="",H38&lt;&gt;""),"",G38-TODAY())</f>
        <v/>
      </c>
      <c r="K38" s="23">
        <f>IF(OR(F38="",H38=""),"",H38-F38)</f>
        <v/>
      </c>
      <c r="L38" s="19" t="n"/>
      <c r="M38" s="20" t="n"/>
    </row>
    <row r="39">
      <c r="A39" s="19" t="n"/>
      <c r="B39" s="20" t="n"/>
      <c r="C39" s="20" t="n"/>
      <c r="D39" s="20" t="n"/>
      <c r="E39" s="20" t="n"/>
      <c r="F39" s="21" t="n"/>
      <c r="G39" s="21" t="n"/>
      <c r="H39" s="21" t="n"/>
      <c r="I39" s="22">
        <f>IF(A39="","",IF(H39&lt;&gt;"","Complete",IF(G39="","Open",IF(G39&lt;TODAY(),"Overdue",IF(G39-TODAY()&lt;=3,"Due Soon","Open")))))</f>
        <v/>
      </c>
      <c r="J39" s="23">
        <f>IF(OR(A39="",G39="",H39&lt;&gt;""),"",G39-TODAY())</f>
        <v/>
      </c>
      <c r="K39" s="23">
        <f>IF(OR(F39="",H39=""),"",H39-F39)</f>
        <v/>
      </c>
      <c r="L39" s="19" t="n"/>
      <c r="M39" s="20" t="n"/>
    </row>
    <row r="40">
      <c r="A40" s="19" t="n"/>
      <c r="B40" s="20" t="n"/>
      <c r="C40" s="20" t="n"/>
      <c r="D40" s="20" t="n"/>
      <c r="E40" s="20" t="n"/>
      <c r="F40" s="21" t="n"/>
      <c r="G40" s="21" t="n"/>
      <c r="H40" s="21" t="n"/>
      <c r="I40" s="22">
        <f>IF(A40="","",IF(H40&lt;&gt;"","Complete",IF(G40="","Open",IF(G40&lt;TODAY(),"Overdue",IF(G40-TODAY()&lt;=3,"Due Soon","Open")))))</f>
        <v/>
      </c>
      <c r="J40" s="23">
        <f>IF(OR(A40="",G40="",H40&lt;&gt;""),"",G40-TODAY())</f>
        <v/>
      </c>
      <c r="K40" s="23">
        <f>IF(OR(F40="",H40=""),"",H40-F40)</f>
        <v/>
      </c>
      <c r="L40" s="19" t="n"/>
      <c r="M40" s="20" t="n"/>
    </row>
    <row r="41">
      <c r="A41" s="19" t="n"/>
      <c r="B41" s="20" t="n"/>
      <c r="C41" s="20" t="n"/>
      <c r="D41" s="20" t="n"/>
      <c r="E41" s="20" t="n"/>
      <c r="F41" s="21" t="n"/>
      <c r="G41" s="21" t="n"/>
      <c r="H41" s="21" t="n"/>
      <c r="I41" s="22">
        <f>IF(A41="","",IF(H41&lt;&gt;"","Complete",IF(G41="","Open",IF(G41&lt;TODAY(),"Overdue",IF(G41-TODAY()&lt;=3,"Due Soon","Open")))))</f>
        <v/>
      </c>
      <c r="J41" s="23">
        <f>IF(OR(A41="",G41="",H41&lt;&gt;""),"",G41-TODAY())</f>
        <v/>
      </c>
      <c r="K41" s="23">
        <f>IF(OR(F41="",H41=""),"",H41-F41)</f>
        <v/>
      </c>
      <c r="L41" s="19" t="n"/>
      <c r="M41" s="20" t="n"/>
    </row>
    <row r="42">
      <c r="A42" s="19" t="n"/>
      <c r="B42" s="20" t="n"/>
      <c r="C42" s="20" t="n"/>
      <c r="D42" s="20" t="n"/>
      <c r="E42" s="20" t="n"/>
      <c r="F42" s="21" t="n"/>
      <c r="G42" s="21" t="n"/>
      <c r="H42" s="21" t="n"/>
      <c r="I42" s="22">
        <f>IF(A42="","",IF(H42&lt;&gt;"","Complete",IF(G42="","Open",IF(G42&lt;TODAY(),"Overdue",IF(G42-TODAY()&lt;=3,"Due Soon","Open")))))</f>
        <v/>
      </c>
      <c r="J42" s="23">
        <f>IF(OR(A42="",G42="",H42&lt;&gt;""),"",G42-TODAY())</f>
        <v/>
      </c>
      <c r="K42" s="23">
        <f>IF(OR(F42="",H42=""),"",H42-F42)</f>
        <v/>
      </c>
      <c r="L42" s="19" t="n"/>
      <c r="M42" s="20" t="n"/>
    </row>
    <row r="43">
      <c r="A43" s="19" t="n"/>
      <c r="B43" s="20" t="n"/>
      <c r="C43" s="20" t="n"/>
      <c r="D43" s="20" t="n"/>
      <c r="E43" s="20" t="n"/>
      <c r="F43" s="21" t="n"/>
      <c r="G43" s="21" t="n"/>
      <c r="H43" s="21" t="n"/>
      <c r="I43" s="22">
        <f>IF(A43="","",IF(H43&lt;&gt;"","Complete",IF(G43="","Open",IF(G43&lt;TODAY(),"Overdue",IF(G43-TODAY()&lt;=3,"Due Soon","Open")))))</f>
        <v/>
      </c>
      <c r="J43" s="23">
        <f>IF(OR(A43="",G43="",H43&lt;&gt;""),"",G43-TODAY())</f>
        <v/>
      </c>
      <c r="K43" s="23">
        <f>IF(OR(F43="",H43=""),"",H43-F43)</f>
        <v/>
      </c>
      <c r="L43" s="19" t="n"/>
      <c r="M43" s="20" t="n"/>
    </row>
    <row r="44">
      <c r="A44" s="19" t="n"/>
      <c r="B44" s="20" t="n"/>
      <c r="C44" s="20" t="n"/>
      <c r="D44" s="20" t="n"/>
      <c r="E44" s="20" t="n"/>
      <c r="F44" s="21" t="n"/>
      <c r="G44" s="21" t="n"/>
      <c r="H44" s="21" t="n"/>
      <c r="I44" s="22">
        <f>IF(A44="","",IF(H44&lt;&gt;"","Complete",IF(G44="","Open",IF(G44&lt;TODAY(),"Overdue",IF(G44-TODAY()&lt;=3,"Due Soon","Open")))))</f>
        <v/>
      </c>
      <c r="J44" s="23">
        <f>IF(OR(A44="",G44="",H44&lt;&gt;""),"",G44-TODAY())</f>
        <v/>
      </c>
      <c r="K44" s="23">
        <f>IF(OR(F44="",H44=""),"",H44-F44)</f>
        <v/>
      </c>
      <c r="L44" s="19" t="n"/>
      <c r="M44" s="20" t="n"/>
    </row>
    <row r="45">
      <c r="A45" s="19" t="n"/>
      <c r="B45" s="20" t="n"/>
      <c r="C45" s="20" t="n"/>
      <c r="D45" s="20" t="n"/>
      <c r="E45" s="20" t="n"/>
      <c r="F45" s="21" t="n"/>
      <c r="G45" s="21" t="n"/>
      <c r="H45" s="21" t="n"/>
      <c r="I45" s="22">
        <f>IF(A45="","",IF(H45&lt;&gt;"","Complete",IF(G45="","Open",IF(G45&lt;TODAY(),"Overdue",IF(G45-TODAY()&lt;=3,"Due Soon","Open")))))</f>
        <v/>
      </c>
      <c r="J45" s="23">
        <f>IF(OR(A45="",G45="",H45&lt;&gt;""),"",G45-TODAY())</f>
        <v/>
      </c>
      <c r="K45" s="23">
        <f>IF(OR(F45="",H45=""),"",H45-F45)</f>
        <v/>
      </c>
      <c r="L45" s="19" t="n"/>
      <c r="M45" s="20" t="n"/>
    </row>
    <row r="46">
      <c r="A46" s="19" t="n"/>
      <c r="B46" s="20" t="n"/>
      <c r="C46" s="20" t="n"/>
      <c r="D46" s="20" t="n"/>
      <c r="E46" s="20" t="n"/>
      <c r="F46" s="21" t="n"/>
      <c r="G46" s="21" t="n"/>
      <c r="H46" s="21" t="n"/>
      <c r="I46" s="22">
        <f>IF(A46="","",IF(H46&lt;&gt;"","Complete",IF(G46="","Open",IF(G46&lt;TODAY(),"Overdue",IF(G46-TODAY()&lt;=3,"Due Soon","Open")))))</f>
        <v/>
      </c>
      <c r="J46" s="23">
        <f>IF(OR(A46="",G46="",H46&lt;&gt;""),"",G46-TODAY())</f>
        <v/>
      </c>
      <c r="K46" s="23">
        <f>IF(OR(F46="",H46=""),"",H46-F46)</f>
        <v/>
      </c>
      <c r="L46" s="19" t="n"/>
      <c r="M46" s="20" t="n"/>
    </row>
    <row r="47">
      <c r="A47" s="19" t="n"/>
      <c r="B47" s="20" t="n"/>
      <c r="C47" s="20" t="n"/>
      <c r="D47" s="20" t="n"/>
      <c r="E47" s="20" t="n"/>
      <c r="F47" s="21" t="n"/>
      <c r="G47" s="21" t="n"/>
      <c r="H47" s="21" t="n"/>
      <c r="I47" s="22">
        <f>IF(A47="","",IF(H47&lt;&gt;"","Complete",IF(G47="","Open",IF(G47&lt;TODAY(),"Overdue",IF(G47-TODAY()&lt;=3,"Due Soon","Open")))))</f>
        <v/>
      </c>
      <c r="J47" s="23">
        <f>IF(OR(A47="",G47="",H47&lt;&gt;""),"",G47-TODAY())</f>
        <v/>
      </c>
      <c r="K47" s="23">
        <f>IF(OR(F47="",H47=""),"",H47-F47)</f>
        <v/>
      </c>
      <c r="L47" s="19" t="n"/>
      <c r="M47" s="20" t="n"/>
    </row>
    <row r="48">
      <c r="A48" s="19" t="n"/>
      <c r="B48" s="20" t="n"/>
      <c r="C48" s="20" t="n"/>
      <c r="D48" s="20" t="n"/>
      <c r="E48" s="20" t="n"/>
      <c r="F48" s="21" t="n"/>
      <c r="G48" s="21" t="n"/>
      <c r="H48" s="21" t="n"/>
      <c r="I48" s="22">
        <f>IF(A48="","",IF(H48&lt;&gt;"","Complete",IF(G48="","Open",IF(G48&lt;TODAY(),"Overdue",IF(G48-TODAY()&lt;=3,"Due Soon","Open")))))</f>
        <v/>
      </c>
      <c r="J48" s="23">
        <f>IF(OR(A48="",G48="",H48&lt;&gt;""),"",G48-TODAY())</f>
        <v/>
      </c>
      <c r="K48" s="23">
        <f>IF(OR(F48="",H48=""),"",H48-F48)</f>
        <v/>
      </c>
      <c r="L48" s="19" t="n"/>
      <c r="M48" s="20" t="n"/>
    </row>
    <row r="49">
      <c r="A49" s="19" t="n"/>
      <c r="B49" s="20" t="n"/>
      <c r="C49" s="20" t="n"/>
      <c r="D49" s="20" t="n"/>
      <c r="E49" s="20" t="n"/>
      <c r="F49" s="21" t="n"/>
      <c r="G49" s="21" t="n"/>
      <c r="H49" s="21" t="n"/>
      <c r="I49" s="22">
        <f>IF(A49="","",IF(H49&lt;&gt;"","Complete",IF(G49="","Open",IF(G49&lt;TODAY(),"Overdue",IF(G49-TODAY()&lt;=3,"Due Soon","Open")))))</f>
        <v/>
      </c>
      <c r="J49" s="23">
        <f>IF(OR(A49="",G49="",H49&lt;&gt;""),"",G49-TODAY())</f>
        <v/>
      </c>
      <c r="K49" s="23">
        <f>IF(OR(F49="",H49=""),"",H49-F49)</f>
        <v/>
      </c>
      <c r="L49" s="19" t="n"/>
      <c r="M49" s="20" t="n"/>
    </row>
    <row r="50">
      <c r="A50" s="19" t="n"/>
      <c r="B50" s="20" t="n"/>
      <c r="C50" s="20" t="n"/>
      <c r="D50" s="20" t="n"/>
      <c r="E50" s="20" t="n"/>
      <c r="F50" s="21" t="n"/>
      <c r="G50" s="21" t="n"/>
      <c r="H50" s="21" t="n"/>
      <c r="I50" s="22">
        <f>IF(A50="","",IF(H50&lt;&gt;"","Complete",IF(G50="","Open",IF(G50&lt;TODAY(),"Overdue",IF(G50-TODAY()&lt;=3,"Due Soon","Open")))))</f>
        <v/>
      </c>
      <c r="J50" s="23">
        <f>IF(OR(A50="",G50="",H50&lt;&gt;""),"",G50-TODAY())</f>
        <v/>
      </c>
      <c r="K50" s="23">
        <f>IF(OR(F50="",H50=""),"",H50-F50)</f>
        <v/>
      </c>
      <c r="L50" s="19" t="n"/>
      <c r="M50" s="20" t="n"/>
    </row>
    <row r="51">
      <c r="A51" s="19" t="n"/>
      <c r="B51" s="20" t="n"/>
      <c r="C51" s="20" t="n"/>
      <c r="D51" s="20" t="n"/>
      <c r="E51" s="20" t="n"/>
      <c r="F51" s="21" t="n"/>
      <c r="G51" s="21" t="n"/>
      <c r="H51" s="21" t="n"/>
      <c r="I51" s="22">
        <f>IF(A51="","",IF(H51&lt;&gt;"","Complete",IF(G51="","Open",IF(G51&lt;TODAY(),"Overdue",IF(G51-TODAY()&lt;=3,"Due Soon","Open")))))</f>
        <v/>
      </c>
      <c r="J51" s="23">
        <f>IF(OR(A51="",G51="",H51&lt;&gt;""),"",G51-TODAY())</f>
        <v/>
      </c>
      <c r="K51" s="23">
        <f>IF(OR(F51="",H51=""),"",H51-F51)</f>
        <v/>
      </c>
      <c r="L51" s="19" t="n"/>
      <c r="M51" s="20" t="n"/>
    </row>
    <row r="52">
      <c r="A52" s="19" t="n"/>
      <c r="B52" s="20" t="n"/>
      <c r="C52" s="20" t="n"/>
      <c r="D52" s="20" t="n"/>
      <c r="E52" s="20" t="n"/>
      <c r="F52" s="21" t="n"/>
      <c r="G52" s="21" t="n"/>
      <c r="H52" s="21" t="n"/>
      <c r="I52" s="22">
        <f>IF(A52="","",IF(H52&lt;&gt;"","Complete",IF(G52="","Open",IF(G52&lt;TODAY(),"Overdue",IF(G52-TODAY()&lt;=3,"Due Soon","Open")))))</f>
        <v/>
      </c>
      <c r="J52" s="23">
        <f>IF(OR(A52="",G52="",H52&lt;&gt;""),"",G52-TODAY())</f>
        <v/>
      </c>
      <c r="K52" s="23">
        <f>IF(OR(F52="",H52=""),"",H52-F52)</f>
        <v/>
      </c>
      <c r="L52" s="19" t="n"/>
      <c r="M52" s="20" t="n"/>
    </row>
    <row r="53">
      <c r="A53" s="19" t="n"/>
      <c r="B53" s="20" t="n"/>
      <c r="C53" s="20" t="n"/>
      <c r="D53" s="20" t="n"/>
      <c r="E53" s="20" t="n"/>
      <c r="F53" s="21" t="n"/>
      <c r="G53" s="21" t="n"/>
      <c r="H53" s="21" t="n"/>
      <c r="I53" s="22">
        <f>IF(A53="","",IF(H53&lt;&gt;"","Complete",IF(G53="","Open",IF(G53&lt;TODAY(),"Overdue",IF(G53-TODAY()&lt;=3,"Due Soon","Open")))))</f>
        <v/>
      </c>
      <c r="J53" s="23">
        <f>IF(OR(A53="",G53="",H53&lt;&gt;""),"",G53-TODAY())</f>
        <v/>
      </c>
      <c r="K53" s="23">
        <f>IF(OR(F53="",H53=""),"",H53-F53)</f>
        <v/>
      </c>
      <c r="L53" s="19" t="n"/>
      <c r="M53" s="20" t="n"/>
    </row>
    <row r="54">
      <c r="A54" s="19" t="n"/>
      <c r="B54" s="20" t="n"/>
      <c r="C54" s="20" t="n"/>
      <c r="D54" s="20" t="n"/>
      <c r="E54" s="20" t="n"/>
      <c r="F54" s="21" t="n"/>
      <c r="G54" s="21" t="n"/>
      <c r="H54" s="21" t="n"/>
      <c r="I54" s="22">
        <f>IF(A54="","",IF(H54&lt;&gt;"","Complete",IF(G54="","Open",IF(G54&lt;TODAY(),"Overdue",IF(G54-TODAY()&lt;=3,"Due Soon","Open")))))</f>
        <v/>
      </c>
      <c r="J54" s="23">
        <f>IF(OR(A54="",G54="",H54&lt;&gt;""),"",G54-TODAY())</f>
        <v/>
      </c>
      <c r="K54" s="23">
        <f>IF(OR(F54="",H54=""),"",H54-F54)</f>
        <v/>
      </c>
      <c r="L54" s="19" t="n"/>
      <c r="M54" s="20" t="n"/>
    </row>
    <row r="55">
      <c r="A55" s="19" t="n"/>
      <c r="B55" s="20" t="n"/>
      <c r="C55" s="20" t="n"/>
      <c r="D55" s="20" t="n"/>
      <c r="E55" s="20" t="n"/>
      <c r="F55" s="21" t="n"/>
      <c r="G55" s="21" t="n"/>
      <c r="H55" s="21" t="n"/>
      <c r="I55" s="22">
        <f>IF(A55="","",IF(H55&lt;&gt;"","Complete",IF(G55="","Open",IF(G55&lt;TODAY(),"Overdue",IF(G55-TODAY()&lt;=3,"Due Soon","Open")))))</f>
        <v/>
      </c>
      <c r="J55" s="23">
        <f>IF(OR(A55="",G55="",H55&lt;&gt;""),"",G55-TODAY())</f>
        <v/>
      </c>
      <c r="K55" s="23">
        <f>IF(OR(F55="",H55=""),"",H55-F55)</f>
        <v/>
      </c>
      <c r="L55" s="19" t="n"/>
      <c r="M55" s="20" t="n"/>
    </row>
    <row r="56">
      <c r="A56" s="19" t="n"/>
      <c r="B56" s="20" t="n"/>
      <c r="C56" s="20" t="n"/>
      <c r="D56" s="20" t="n"/>
      <c r="E56" s="20" t="n"/>
      <c r="F56" s="21" t="n"/>
      <c r="G56" s="21" t="n"/>
      <c r="H56" s="21" t="n"/>
      <c r="I56" s="22">
        <f>IF(A56="","",IF(H56&lt;&gt;"","Complete",IF(G56="","Open",IF(G56&lt;TODAY(),"Overdue",IF(G56-TODAY()&lt;=3,"Due Soon","Open")))))</f>
        <v/>
      </c>
      <c r="J56" s="23">
        <f>IF(OR(A56="",G56="",H56&lt;&gt;""),"",G56-TODAY())</f>
        <v/>
      </c>
      <c r="K56" s="23">
        <f>IF(OR(F56="",H56=""),"",H56-F56)</f>
        <v/>
      </c>
      <c r="L56" s="19" t="n"/>
      <c r="M56" s="20" t="n"/>
    </row>
    <row r="57">
      <c r="A57" s="19" t="n"/>
      <c r="B57" s="20" t="n"/>
      <c r="C57" s="20" t="n"/>
      <c r="D57" s="20" t="n"/>
      <c r="E57" s="20" t="n"/>
      <c r="F57" s="21" t="n"/>
      <c r="G57" s="21" t="n"/>
      <c r="H57" s="21" t="n"/>
      <c r="I57" s="22">
        <f>IF(A57="","",IF(H57&lt;&gt;"","Complete",IF(G57="","Open",IF(G57&lt;TODAY(),"Overdue",IF(G57-TODAY()&lt;=3,"Due Soon","Open")))))</f>
        <v/>
      </c>
      <c r="J57" s="23">
        <f>IF(OR(A57="",G57="",H57&lt;&gt;""),"",G57-TODAY())</f>
        <v/>
      </c>
      <c r="K57" s="23">
        <f>IF(OR(F57="",H57=""),"",H57-F57)</f>
        <v/>
      </c>
      <c r="L57" s="19" t="n"/>
      <c r="M57" s="20" t="n"/>
    </row>
    <row r="58">
      <c r="A58" s="19" t="n"/>
      <c r="B58" s="20" t="n"/>
      <c r="C58" s="20" t="n"/>
      <c r="D58" s="20" t="n"/>
      <c r="E58" s="20" t="n"/>
      <c r="F58" s="21" t="n"/>
      <c r="G58" s="21" t="n"/>
      <c r="H58" s="21" t="n"/>
      <c r="I58" s="22">
        <f>IF(A58="","",IF(H58&lt;&gt;"","Complete",IF(G58="","Open",IF(G58&lt;TODAY(),"Overdue",IF(G58-TODAY()&lt;=3,"Due Soon","Open")))))</f>
        <v/>
      </c>
      <c r="J58" s="23">
        <f>IF(OR(A58="",G58="",H58&lt;&gt;""),"",G58-TODAY())</f>
        <v/>
      </c>
      <c r="K58" s="23">
        <f>IF(OR(F58="",H58=""),"",H58-F58)</f>
        <v/>
      </c>
      <c r="L58" s="19" t="n"/>
      <c r="M58" s="20" t="n"/>
    </row>
    <row r="59">
      <c r="A59" s="19" t="n"/>
      <c r="B59" s="20" t="n"/>
      <c r="C59" s="20" t="n"/>
      <c r="D59" s="20" t="n"/>
      <c r="E59" s="20" t="n"/>
      <c r="F59" s="21" t="n"/>
      <c r="G59" s="21" t="n"/>
      <c r="H59" s="21" t="n"/>
      <c r="I59" s="22">
        <f>IF(A59="","",IF(H59&lt;&gt;"","Complete",IF(G59="","Open",IF(G59&lt;TODAY(),"Overdue",IF(G59-TODAY()&lt;=3,"Due Soon","Open")))))</f>
        <v/>
      </c>
      <c r="J59" s="23">
        <f>IF(OR(A59="",G59="",H59&lt;&gt;""),"",G59-TODAY())</f>
        <v/>
      </c>
      <c r="K59" s="23">
        <f>IF(OR(F59="",H59=""),"",H59-F59)</f>
        <v/>
      </c>
      <c r="L59" s="19" t="n"/>
      <c r="M59" s="20" t="n"/>
    </row>
    <row r="60">
      <c r="A60" s="19" t="n"/>
      <c r="B60" s="20" t="n"/>
      <c r="C60" s="20" t="n"/>
      <c r="D60" s="20" t="n"/>
      <c r="E60" s="20" t="n"/>
      <c r="F60" s="21" t="n"/>
      <c r="G60" s="21" t="n"/>
      <c r="H60" s="21" t="n"/>
      <c r="I60" s="22">
        <f>IF(A60="","",IF(H60&lt;&gt;"","Complete",IF(G60="","Open",IF(G60&lt;TODAY(),"Overdue",IF(G60-TODAY()&lt;=3,"Due Soon","Open")))))</f>
        <v/>
      </c>
      <c r="J60" s="23">
        <f>IF(OR(A60="",G60="",H60&lt;&gt;""),"",G60-TODAY())</f>
        <v/>
      </c>
      <c r="K60" s="23">
        <f>IF(OR(F60="",H60=""),"",H60-F60)</f>
        <v/>
      </c>
      <c r="L60" s="19" t="n"/>
      <c r="M60" s="20" t="n"/>
    </row>
    <row r="61">
      <c r="A61" s="19" t="n"/>
      <c r="B61" s="20" t="n"/>
      <c r="C61" s="20" t="n"/>
      <c r="D61" s="20" t="n"/>
      <c r="E61" s="20" t="n"/>
      <c r="F61" s="21" t="n"/>
      <c r="G61" s="21" t="n"/>
      <c r="H61" s="21" t="n"/>
      <c r="I61" s="22">
        <f>IF(A61="","",IF(H61&lt;&gt;"","Complete",IF(G61="","Open",IF(G61&lt;TODAY(),"Overdue",IF(G61-TODAY()&lt;=3,"Due Soon","Open")))))</f>
        <v/>
      </c>
      <c r="J61" s="23">
        <f>IF(OR(A61="",G61="",H61&lt;&gt;""),"",G61-TODAY())</f>
        <v/>
      </c>
      <c r="K61" s="23">
        <f>IF(OR(F61="",H61=""),"",H61-F61)</f>
        <v/>
      </c>
      <c r="L61" s="19" t="n"/>
      <c r="M61" s="20" t="n"/>
    </row>
    <row r="62">
      <c r="A62" s="19" t="n"/>
      <c r="B62" s="20" t="n"/>
      <c r="C62" s="20" t="n"/>
      <c r="D62" s="20" t="n"/>
      <c r="E62" s="20" t="n"/>
      <c r="F62" s="21" t="n"/>
      <c r="G62" s="21" t="n"/>
      <c r="H62" s="21" t="n"/>
      <c r="I62" s="22">
        <f>IF(A62="","",IF(H62&lt;&gt;"","Complete",IF(G62="","Open",IF(G62&lt;TODAY(),"Overdue",IF(G62-TODAY()&lt;=3,"Due Soon","Open")))))</f>
        <v/>
      </c>
      <c r="J62" s="23">
        <f>IF(OR(A62="",G62="",H62&lt;&gt;""),"",G62-TODAY())</f>
        <v/>
      </c>
      <c r="K62" s="23">
        <f>IF(OR(F62="",H62=""),"",H62-F62)</f>
        <v/>
      </c>
      <c r="L62" s="19" t="n"/>
      <c r="M62" s="20" t="n"/>
    </row>
    <row r="63">
      <c r="A63" s="19" t="n"/>
      <c r="B63" s="20" t="n"/>
      <c r="C63" s="20" t="n"/>
      <c r="D63" s="20" t="n"/>
      <c r="E63" s="20" t="n"/>
      <c r="F63" s="21" t="n"/>
      <c r="G63" s="21" t="n"/>
      <c r="H63" s="21" t="n"/>
      <c r="I63" s="22">
        <f>IF(A63="","",IF(H63&lt;&gt;"","Complete",IF(G63="","Open",IF(G63&lt;TODAY(),"Overdue",IF(G63-TODAY()&lt;=3,"Due Soon","Open")))))</f>
        <v/>
      </c>
      <c r="J63" s="23">
        <f>IF(OR(A63="",G63="",H63&lt;&gt;""),"",G63-TODAY())</f>
        <v/>
      </c>
      <c r="K63" s="23">
        <f>IF(OR(F63="",H63=""),"",H63-F63)</f>
        <v/>
      </c>
      <c r="L63" s="19" t="n"/>
      <c r="M63" s="20" t="n"/>
    </row>
    <row r="64">
      <c r="A64" s="19" t="n"/>
      <c r="B64" s="20" t="n"/>
      <c r="C64" s="20" t="n"/>
      <c r="D64" s="20" t="n"/>
      <c r="E64" s="20" t="n"/>
      <c r="F64" s="21" t="n"/>
      <c r="G64" s="21" t="n"/>
      <c r="H64" s="21" t="n"/>
      <c r="I64" s="22">
        <f>IF(A64="","",IF(H64&lt;&gt;"","Complete",IF(G64="","Open",IF(G64&lt;TODAY(),"Overdue",IF(G64-TODAY()&lt;=3,"Due Soon","Open")))))</f>
        <v/>
      </c>
      <c r="J64" s="23">
        <f>IF(OR(A64="",G64="",H64&lt;&gt;""),"",G64-TODAY())</f>
        <v/>
      </c>
      <c r="K64" s="23">
        <f>IF(OR(F64="",H64=""),"",H64-F64)</f>
        <v/>
      </c>
      <c r="L64" s="19" t="n"/>
      <c r="M64" s="20" t="n"/>
    </row>
    <row r="65">
      <c r="A65" s="19" t="n"/>
      <c r="B65" s="20" t="n"/>
      <c r="C65" s="20" t="n"/>
      <c r="D65" s="20" t="n"/>
      <c r="E65" s="20" t="n"/>
      <c r="F65" s="21" t="n"/>
      <c r="G65" s="21" t="n"/>
      <c r="H65" s="21" t="n"/>
      <c r="I65" s="22">
        <f>IF(A65="","",IF(H65&lt;&gt;"","Complete",IF(G65="","Open",IF(G65&lt;TODAY(),"Overdue",IF(G65-TODAY()&lt;=3,"Due Soon","Open")))))</f>
        <v/>
      </c>
      <c r="J65" s="23">
        <f>IF(OR(A65="",G65="",H65&lt;&gt;""),"",G65-TODAY())</f>
        <v/>
      </c>
      <c r="K65" s="23">
        <f>IF(OR(F65="",H65=""),"",H65-F65)</f>
        <v/>
      </c>
      <c r="L65" s="19" t="n"/>
      <c r="M65" s="20" t="n"/>
    </row>
    <row r="66">
      <c r="A66" s="19" t="n"/>
      <c r="B66" s="20" t="n"/>
      <c r="C66" s="20" t="n"/>
      <c r="D66" s="20" t="n"/>
      <c r="E66" s="20" t="n"/>
      <c r="F66" s="21" t="n"/>
      <c r="G66" s="21" t="n"/>
      <c r="H66" s="21" t="n"/>
      <c r="I66" s="22">
        <f>IF(A66="","",IF(H66&lt;&gt;"","Complete",IF(G66="","Open",IF(G66&lt;TODAY(),"Overdue",IF(G66-TODAY()&lt;=3,"Due Soon","Open")))))</f>
        <v/>
      </c>
      <c r="J66" s="23">
        <f>IF(OR(A66="",G66="",H66&lt;&gt;""),"",G66-TODAY())</f>
        <v/>
      </c>
      <c r="K66" s="23">
        <f>IF(OR(F66="",H66=""),"",H66-F66)</f>
        <v/>
      </c>
      <c r="L66" s="19" t="n"/>
      <c r="M66" s="20" t="n"/>
    </row>
    <row r="67">
      <c r="A67" s="19" t="n"/>
      <c r="B67" s="20" t="n"/>
      <c r="C67" s="20" t="n"/>
      <c r="D67" s="20" t="n"/>
      <c r="E67" s="20" t="n"/>
      <c r="F67" s="21" t="n"/>
      <c r="G67" s="21" t="n"/>
      <c r="H67" s="21" t="n"/>
      <c r="I67" s="22">
        <f>IF(A67="","",IF(H67&lt;&gt;"","Complete",IF(G67="","Open",IF(G67&lt;TODAY(),"Overdue",IF(G67-TODAY()&lt;=3,"Due Soon","Open")))))</f>
        <v/>
      </c>
      <c r="J67" s="23">
        <f>IF(OR(A67="",G67="",H67&lt;&gt;""),"",G67-TODAY())</f>
        <v/>
      </c>
      <c r="K67" s="23">
        <f>IF(OR(F67="",H67=""),"",H67-F67)</f>
        <v/>
      </c>
      <c r="L67" s="19" t="n"/>
      <c r="M67" s="20" t="n"/>
    </row>
    <row r="68">
      <c r="A68" s="19" t="n"/>
      <c r="B68" s="20" t="n"/>
      <c r="C68" s="20" t="n"/>
      <c r="D68" s="20" t="n"/>
      <c r="E68" s="20" t="n"/>
      <c r="F68" s="21" t="n"/>
      <c r="G68" s="21" t="n"/>
      <c r="H68" s="21" t="n"/>
      <c r="I68" s="22">
        <f>IF(A68="","",IF(H68&lt;&gt;"","Complete",IF(G68="","Open",IF(G68&lt;TODAY(),"Overdue",IF(G68-TODAY()&lt;=3,"Due Soon","Open")))))</f>
        <v/>
      </c>
      <c r="J68" s="23">
        <f>IF(OR(A68="",G68="",H68&lt;&gt;""),"",G68-TODAY())</f>
        <v/>
      </c>
      <c r="K68" s="23">
        <f>IF(OR(F68="",H68=""),"",H68-F68)</f>
        <v/>
      </c>
      <c r="L68" s="19" t="n"/>
      <c r="M68" s="20" t="n"/>
    </row>
    <row r="69">
      <c r="A69" s="19" t="n"/>
      <c r="B69" s="20" t="n"/>
      <c r="C69" s="20" t="n"/>
      <c r="D69" s="20" t="n"/>
      <c r="E69" s="20" t="n"/>
      <c r="F69" s="21" t="n"/>
      <c r="G69" s="21" t="n"/>
      <c r="H69" s="21" t="n"/>
      <c r="I69" s="22">
        <f>IF(A69="","",IF(H69&lt;&gt;"","Complete",IF(G69="","Open",IF(G69&lt;TODAY(),"Overdue",IF(G69-TODAY()&lt;=3,"Due Soon","Open")))))</f>
        <v/>
      </c>
      <c r="J69" s="23">
        <f>IF(OR(A69="",G69="",H69&lt;&gt;""),"",G69-TODAY())</f>
        <v/>
      </c>
      <c r="K69" s="23">
        <f>IF(OR(F69="",H69=""),"",H69-F69)</f>
        <v/>
      </c>
      <c r="L69" s="19" t="n"/>
      <c r="M69" s="20" t="n"/>
    </row>
    <row r="70">
      <c r="A70" s="19" t="n"/>
      <c r="B70" s="20" t="n"/>
      <c r="C70" s="20" t="n"/>
      <c r="D70" s="20" t="n"/>
      <c r="E70" s="20" t="n"/>
      <c r="F70" s="21" t="n"/>
      <c r="G70" s="21" t="n"/>
      <c r="H70" s="21" t="n"/>
      <c r="I70" s="22">
        <f>IF(A70="","",IF(H70&lt;&gt;"","Complete",IF(G70="","Open",IF(G70&lt;TODAY(),"Overdue",IF(G70-TODAY()&lt;=3,"Due Soon","Open")))))</f>
        <v/>
      </c>
      <c r="J70" s="23">
        <f>IF(OR(A70="",G70="",H70&lt;&gt;""),"",G70-TODAY())</f>
        <v/>
      </c>
      <c r="K70" s="23">
        <f>IF(OR(F70="",H70=""),"",H70-F70)</f>
        <v/>
      </c>
      <c r="L70" s="19" t="n"/>
      <c r="M70" s="20" t="n"/>
    </row>
    <row r="71">
      <c r="A71" s="19" t="n"/>
      <c r="B71" s="20" t="n"/>
      <c r="C71" s="20" t="n"/>
      <c r="D71" s="20" t="n"/>
      <c r="E71" s="20" t="n"/>
      <c r="F71" s="21" t="n"/>
      <c r="G71" s="21" t="n"/>
      <c r="H71" s="21" t="n"/>
      <c r="I71" s="22">
        <f>IF(A71="","",IF(H71&lt;&gt;"","Complete",IF(G71="","Open",IF(G71&lt;TODAY(),"Overdue",IF(G71-TODAY()&lt;=3,"Due Soon","Open")))))</f>
        <v/>
      </c>
      <c r="J71" s="23">
        <f>IF(OR(A71="",G71="",H71&lt;&gt;""),"",G71-TODAY())</f>
        <v/>
      </c>
      <c r="K71" s="23">
        <f>IF(OR(F71="",H71=""),"",H71-F71)</f>
        <v/>
      </c>
      <c r="L71" s="19" t="n"/>
      <c r="M71" s="20" t="n"/>
    </row>
    <row r="72">
      <c r="A72" s="19" t="n"/>
      <c r="B72" s="20" t="n"/>
      <c r="C72" s="20" t="n"/>
      <c r="D72" s="20" t="n"/>
      <c r="E72" s="20" t="n"/>
      <c r="F72" s="21" t="n"/>
      <c r="G72" s="21" t="n"/>
      <c r="H72" s="21" t="n"/>
      <c r="I72" s="22">
        <f>IF(A72="","",IF(H72&lt;&gt;"","Complete",IF(G72="","Open",IF(G72&lt;TODAY(),"Overdue",IF(G72-TODAY()&lt;=3,"Due Soon","Open")))))</f>
        <v/>
      </c>
      <c r="J72" s="23">
        <f>IF(OR(A72="",G72="",H72&lt;&gt;""),"",G72-TODAY())</f>
        <v/>
      </c>
      <c r="K72" s="23">
        <f>IF(OR(F72="",H72=""),"",H72-F72)</f>
        <v/>
      </c>
      <c r="L72" s="19" t="n"/>
      <c r="M72" s="20" t="n"/>
    </row>
    <row r="73">
      <c r="A73" s="19" t="n"/>
      <c r="B73" s="20" t="n"/>
      <c r="C73" s="20" t="n"/>
      <c r="D73" s="20" t="n"/>
      <c r="E73" s="20" t="n"/>
      <c r="F73" s="21" t="n"/>
      <c r="G73" s="21" t="n"/>
      <c r="H73" s="21" t="n"/>
      <c r="I73" s="22">
        <f>IF(A73="","",IF(H73&lt;&gt;"","Complete",IF(G73="","Open",IF(G73&lt;TODAY(),"Overdue",IF(G73-TODAY()&lt;=3,"Due Soon","Open")))))</f>
        <v/>
      </c>
      <c r="J73" s="23">
        <f>IF(OR(A73="",G73="",H73&lt;&gt;""),"",G73-TODAY())</f>
        <v/>
      </c>
      <c r="K73" s="23">
        <f>IF(OR(F73="",H73=""),"",H73-F73)</f>
        <v/>
      </c>
      <c r="L73" s="19" t="n"/>
      <c r="M73" s="20" t="n"/>
    </row>
    <row r="74">
      <c r="A74" s="19" t="n"/>
      <c r="B74" s="20" t="n"/>
      <c r="C74" s="20" t="n"/>
      <c r="D74" s="20" t="n"/>
      <c r="E74" s="20" t="n"/>
      <c r="F74" s="21" t="n"/>
      <c r="G74" s="21" t="n"/>
      <c r="H74" s="21" t="n"/>
      <c r="I74" s="22">
        <f>IF(A74="","",IF(H74&lt;&gt;"","Complete",IF(G74="","Open",IF(G74&lt;TODAY(),"Overdue",IF(G74-TODAY()&lt;=3,"Due Soon","Open")))))</f>
        <v/>
      </c>
      <c r="J74" s="23">
        <f>IF(OR(A74="",G74="",H74&lt;&gt;""),"",G74-TODAY())</f>
        <v/>
      </c>
      <c r="K74" s="23">
        <f>IF(OR(F74="",H74=""),"",H74-F74)</f>
        <v/>
      </c>
      <c r="L74" s="19" t="n"/>
      <c r="M74" s="20" t="n"/>
    </row>
    <row r="75">
      <c r="A75" s="19" t="n"/>
      <c r="B75" s="20" t="n"/>
      <c r="C75" s="20" t="n"/>
      <c r="D75" s="20" t="n"/>
      <c r="E75" s="20" t="n"/>
      <c r="F75" s="21" t="n"/>
      <c r="G75" s="21" t="n"/>
      <c r="H75" s="21" t="n"/>
      <c r="I75" s="22">
        <f>IF(A75="","",IF(H75&lt;&gt;"","Complete",IF(G75="","Open",IF(G75&lt;TODAY(),"Overdue",IF(G75-TODAY()&lt;=3,"Due Soon","Open")))))</f>
        <v/>
      </c>
      <c r="J75" s="23">
        <f>IF(OR(A75="",G75="",H75&lt;&gt;""),"",G75-TODAY())</f>
        <v/>
      </c>
      <c r="K75" s="23">
        <f>IF(OR(F75="",H75=""),"",H75-F75)</f>
        <v/>
      </c>
      <c r="L75" s="19" t="n"/>
      <c r="M75" s="20" t="n"/>
    </row>
    <row r="76">
      <c r="A76" s="19" t="n"/>
      <c r="B76" s="20" t="n"/>
      <c r="C76" s="20" t="n"/>
      <c r="D76" s="20" t="n"/>
      <c r="E76" s="20" t="n"/>
      <c r="F76" s="21" t="n"/>
      <c r="G76" s="21" t="n"/>
      <c r="H76" s="21" t="n"/>
      <c r="I76" s="22">
        <f>IF(A76="","",IF(H76&lt;&gt;"","Complete",IF(G76="","Open",IF(G76&lt;TODAY(),"Overdue",IF(G76-TODAY()&lt;=3,"Due Soon","Open")))))</f>
        <v/>
      </c>
      <c r="J76" s="23">
        <f>IF(OR(A76="",G76="",H76&lt;&gt;""),"",G76-TODAY())</f>
        <v/>
      </c>
      <c r="K76" s="23">
        <f>IF(OR(F76="",H76=""),"",H76-F76)</f>
        <v/>
      </c>
      <c r="L76" s="19" t="n"/>
      <c r="M76" s="20" t="n"/>
    </row>
    <row r="77">
      <c r="A77" s="19" t="n"/>
      <c r="B77" s="20" t="n"/>
      <c r="C77" s="20" t="n"/>
      <c r="D77" s="20" t="n"/>
      <c r="E77" s="20" t="n"/>
      <c r="F77" s="21" t="n"/>
      <c r="G77" s="21" t="n"/>
      <c r="H77" s="21" t="n"/>
      <c r="I77" s="22">
        <f>IF(A77="","",IF(H77&lt;&gt;"","Complete",IF(G77="","Open",IF(G77&lt;TODAY(),"Overdue",IF(G77-TODAY()&lt;=3,"Due Soon","Open")))))</f>
        <v/>
      </c>
      <c r="J77" s="23">
        <f>IF(OR(A77="",G77="",H77&lt;&gt;""),"",G77-TODAY())</f>
        <v/>
      </c>
      <c r="K77" s="23">
        <f>IF(OR(F77="",H77=""),"",H77-F77)</f>
        <v/>
      </c>
      <c r="L77" s="19" t="n"/>
      <c r="M77" s="20" t="n"/>
    </row>
    <row r="78">
      <c r="A78" s="19" t="n"/>
      <c r="B78" s="20" t="n"/>
      <c r="C78" s="20" t="n"/>
      <c r="D78" s="20" t="n"/>
      <c r="E78" s="20" t="n"/>
      <c r="F78" s="21" t="n"/>
      <c r="G78" s="21" t="n"/>
      <c r="H78" s="21" t="n"/>
      <c r="I78" s="22">
        <f>IF(A78="","",IF(H78&lt;&gt;"","Complete",IF(G78="","Open",IF(G78&lt;TODAY(),"Overdue",IF(G78-TODAY()&lt;=3,"Due Soon","Open")))))</f>
        <v/>
      </c>
      <c r="J78" s="23">
        <f>IF(OR(A78="",G78="",H78&lt;&gt;""),"",G78-TODAY())</f>
        <v/>
      </c>
      <c r="K78" s="23">
        <f>IF(OR(F78="",H78=""),"",H78-F78)</f>
        <v/>
      </c>
      <c r="L78" s="19" t="n"/>
      <c r="M78" s="20" t="n"/>
    </row>
    <row r="79">
      <c r="A79" s="19" t="n"/>
      <c r="B79" s="20" t="n"/>
      <c r="C79" s="20" t="n"/>
      <c r="D79" s="20" t="n"/>
      <c r="E79" s="20" t="n"/>
      <c r="F79" s="21" t="n"/>
      <c r="G79" s="21" t="n"/>
      <c r="H79" s="21" t="n"/>
      <c r="I79" s="22">
        <f>IF(A79="","",IF(H79&lt;&gt;"","Complete",IF(G79="","Open",IF(G79&lt;TODAY(),"Overdue",IF(G79-TODAY()&lt;=3,"Due Soon","Open")))))</f>
        <v/>
      </c>
      <c r="J79" s="23">
        <f>IF(OR(A79="",G79="",H79&lt;&gt;""),"",G79-TODAY())</f>
        <v/>
      </c>
      <c r="K79" s="23">
        <f>IF(OR(F79="",H79=""),"",H79-F79)</f>
        <v/>
      </c>
      <c r="L79" s="19" t="n"/>
      <c r="M79" s="20" t="n"/>
    </row>
    <row r="80">
      <c r="A80" s="19" t="n"/>
      <c r="B80" s="20" t="n"/>
      <c r="C80" s="20" t="n"/>
      <c r="D80" s="20" t="n"/>
      <c r="E80" s="20" t="n"/>
      <c r="F80" s="21" t="n"/>
      <c r="G80" s="21" t="n"/>
      <c r="H80" s="21" t="n"/>
      <c r="I80" s="22">
        <f>IF(A80="","",IF(H80&lt;&gt;"","Complete",IF(G80="","Open",IF(G80&lt;TODAY(),"Overdue",IF(G80-TODAY()&lt;=3,"Due Soon","Open")))))</f>
        <v/>
      </c>
      <c r="J80" s="23">
        <f>IF(OR(A80="",G80="",H80&lt;&gt;""),"",G80-TODAY())</f>
        <v/>
      </c>
      <c r="K80" s="23">
        <f>IF(OR(F80="",H80=""),"",H80-F80)</f>
        <v/>
      </c>
      <c r="L80" s="19" t="n"/>
      <c r="M80" s="20" t="n"/>
    </row>
    <row r="81">
      <c r="A81" s="19" t="n"/>
      <c r="B81" s="20" t="n"/>
      <c r="C81" s="20" t="n"/>
      <c r="D81" s="20" t="n"/>
      <c r="E81" s="20" t="n"/>
      <c r="F81" s="21" t="n"/>
      <c r="G81" s="21" t="n"/>
      <c r="H81" s="21" t="n"/>
      <c r="I81" s="22">
        <f>IF(A81="","",IF(H81&lt;&gt;"","Complete",IF(G81="","Open",IF(G81&lt;TODAY(),"Overdue",IF(G81-TODAY()&lt;=3,"Due Soon","Open")))))</f>
        <v/>
      </c>
      <c r="J81" s="23">
        <f>IF(OR(A81="",G81="",H81&lt;&gt;""),"",G81-TODAY())</f>
        <v/>
      </c>
      <c r="K81" s="23">
        <f>IF(OR(F81="",H81=""),"",H81-F81)</f>
        <v/>
      </c>
      <c r="L81" s="19" t="n"/>
      <c r="M81" s="20" t="n"/>
    </row>
    <row r="82">
      <c r="A82" s="19" t="n"/>
      <c r="B82" s="20" t="n"/>
      <c r="C82" s="20" t="n"/>
      <c r="D82" s="20" t="n"/>
      <c r="E82" s="20" t="n"/>
      <c r="F82" s="21" t="n"/>
      <c r="G82" s="21" t="n"/>
      <c r="H82" s="21" t="n"/>
      <c r="I82" s="22">
        <f>IF(A82="","",IF(H82&lt;&gt;"","Complete",IF(G82="","Open",IF(G82&lt;TODAY(),"Overdue",IF(G82-TODAY()&lt;=3,"Due Soon","Open")))))</f>
        <v/>
      </c>
      <c r="J82" s="23">
        <f>IF(OR(A82="",G82="",H82&lt;&gt;""),"",G82-TODAY())</f>
        <v/>
      </c>
      <c r="K82" s="23">
        <f>IF(OR(F82="",H82=""),"",H82-F82)</f>
        <v/>
      </c>
      <c r="L82" s="19" t="n"/>
      <c r="M82" s="20" t="n"/>
    </row>
    <row r="83">
      <c r="A83" s="19" t="n"/>
      <c r="B83" s="20" t="n"/>
      <c r="C83" s="20" t="n"/>
      <c r="D83" s="20" t="n"/>
      <c r="E83" s="20" t="n"/>
      <c r="F83" s="21" t="n"/>
      <c r="G83" s="21" t="n"/>
      <c r="H83" s="21" t="n"/>
      <c r="I83" s="22">
        <f>IF(A83="","",IF(H83&lt;&gt;"","Complete",IF(G83="","Open",IF(G83&lt;TODAY(),"Overdue",IF(G83-TODAY()&lt;=3,"Due Soon","Open")))))</f>
        <v/>
      </c>
      <c r="J83" s="23">
        <f>IF(OR(A83="",G83="",H83&lt;&gt;""),"",G83-TODAY())</f>
        <v/>
      </c>
      <c r="K83" s="23">
        <f>IF(OR(F83="",H83=""),"",H83-F83)</f>
        <v/>
      </c>
      <c r="L83" s="19" t="n"/>
      <c r="M83" s="20" t="n"/>
    </row>
    <row r="84">
      <c r="A84" s="19" t="n"/>
      <c r="B84" s="20" t="n"/>
      <c r="C84" s="20" t="n"/>
      <c r="D84" s="20" t="n"/>
      <c r="E84" s="20" t="n"/>
      <c r="F84" s="21" t="n"/>
      <c r="G84" s="21" t="n"/>
      <c r="H84" s="21" t="n"/>
      <c r="I84" s="22">
        <f>IF(A84="","",IF(H84&lt;&gt;"","Complete",IF(G84="","Open",IF(G84&lt;TODAY(),"Overdue",IF(G84-TODAY()&lt;=3,"Due Soon","Open")))))</f>
        <v/>
      </c>
      <c r="J84" s="23">
        <f>IF(OR(A84="",G84="",H84&lt;&gt;""),"",G84-TODAY())</f>
        <v/>
      </c>
      <c r="K84" s="23">
        <f>IF(OR(F84="",H84=""),"",H84-F84)</f>
        <v/>
      </c>
      <c r="L84" s="19" t="n"/>
      <c r="M84" s="20" t="n"/>
    </row>
    <row r="85">
      <c r="A85" s="19" t="n"/>
      <c r="B85" s="20" t="n"/>
      <c r="C85" s="20" t="n"/>
      <c r="D85" s="20" t="n"/>
      <c r="E85" s="20" t="n"/>
      <c r="F85" s="21" t="n"/>
      <c r="G85" s="21" t="n"/>
      <c r="H85" s="21" t="n"/>
      <c r="I85" s="22">
        <f>IF(A85="","",IF(H85&lt;&gt;"","Complete",IF(G85="","Open",IF(G85&lt;TODAY(),"Overdue",IF(G85-TODAY()&lt;=3,"Due Soon","Open")))))</f>
        <v/>
      </c>
      <c r="J85" s="23">
        <f>IF(OR(A85="",G85="",H85&lt;&gt;""),"",G85-TODAY())</f>
        <v/>
      </c>
      <c r="K85" s="23">
        <f>IF(OR(F85="",H85=""),"",H85-F85)</f>
        <v/>
      </c>
      <c r="L85" s="19" t="n"/>
      <c r="M85" s="20" t="n"/>
    </row>
    <row r="86">
      <c r="A86" s="19" t="n"/>
      <c r="B86" s="20" t="n"/>
      <c r="C86" s="20" t="n"/>
      <c r="D86" s="20" t="n"/>
      <c r="E86" s="20" t="n"/>
      <c r="F86" s="21" t="n"/>
      <c r="G86" s="21" t="n"/>
      <c r="H86" s="21" t="n"/>
      <c r="I86" s="22">
        <f>IF(A86="","",IF(H86&lt;&gt;"","Complete",IF(G86="","Open",IF(G86&lt;TODAY(),"Overdue",IF(G86-TODAY()&lt;=3,"Due Soon","Open")))))</f>
        <v/>
      </c>
      <c r="J86" s="23">
        <f>IF(OR(A86="",G86="",H86&lt;&gt;""),"",G86-TODAY())</f>
        <v/>
      </c>
      <c r="K86" s="23">
        <f>IF(OR(F86="",H86=""),"",H86-F86)</f>
        <v/>
      </c>
      <c r="L86" s="19" t="n"/>
      <c r="M86" s="20" t="n"/>
    </row>
    <row r="87">
      <c r="A87" s="19" t="n"/>
      <c r="B87" s="20" t="n"/>
      <c r="C87" s="20" t="n"/>
      <c r="D87" s="20" t="n"/>
      <c r="E87" s="20" t="n"/>
      <c r="F87" s="21" t="n"/>
      <c r="G87" s="21" t="n"/>
      <c r="H87" s="21" t="n"/>
      <c r="I87" s="22">
        <f>IF(A87="","",IF(H87&lt;&gt;"","Complete",IF(G87="","Open",IF(G87&lt;TODAY(),"Overdue",IF(G87-TODAY()&lt;=3,"Due Soon","Open")))))</f>
        <v/>
      </c>
      <c r="J87" s="23">
        <f>IF(OR(A87="",G87="",H87&lt;&gt;""),"",G87-TODAY())</f>
        <v/>
      </c>
      <c r="K87" s="23">
        <f>IF(OR(F87="",H87=""),"",H87-F87)</f>
        <v/>
      </c>
      <c r="L87" s="19" t="n"/>
      <c r="M87" s="20" t="n"/>
    </row>
    <row r="88">
      <c r="A88" s="19" t="n"/>
      <c r="B88" s="20" t="n"/>
      <c r="C88" s="20" t="n"/>
      <c r="D88" s="20" t="n"/>
      <c r="E88" s="20" t="n"/>
      <c r="F88" s="21" t="n"/>
      <c r="G88" s="21" t="n"/>
      <c r="H88" s="21" t="n"/>
      <c r="I88" s="22">
        <f>IF(A88="","",IF(H88&lt;&gt;"","Complete",IF(G88="","Open",IF(G88&lt;TODAY(),"Overdue",IF(G88-TODAY()&lt;=3,"Due Soon","Open")))))</f>
        <v/>
      </c>
      <c r="J88" s="23">
        <f>IF(OR(A88="",G88="",H88&lt;&gt;""),"",G88-TODAY())</f>
        <v/>
      </c>
      <c r="K88" s="23">
        <f>IF(OR(F88="",H88=""),"",H88-F88)</f>
        <v/>
      </c>
      <c r="L88" s="19" t="n"/>
      <c r="M88" s="20" t="n"/>
    </row>
    <row r="89">
      <c r="A89" s="19" t="n"/>
      <c r="B89" s="20" t="n"/>
      <c r="C89" s="20" t="n"/>
      <c r="D89" s="20" t="n"/>
      <c r="E89" s="20" t="n"/>
      <c r="F89" s="21" t="n"/>
      <c r="G89" s="21" t="n"/>
      <c r="H89" s="21" t="n"/>
      <c r="I89" s="22">
        <f>IF(A89="","",IF(H89&lt;&gt;"","Complete",IF(G89="","Open",IF(G89&lt;TODAY(),"Overdue",IF(G89-TODAY()&lt;=3,"Due Soon","Open")))))</f>
        <v/>
      </c>
      <c r="J89" s="23">
        <f>IF(OR(A89="",G89="",H89&lt;&gt;""),"",G89-TODAY())</f>
        <v/>
      </c>
      <c r="K89" s="23">
        <f>IF(OR(F89="",H89=""),"",H89-F89)</f>
        <v/>
      </c>
      <c r="L89" s="19" t="n"/>
      <c r="M89" s="20" t="n"/>
    </row>
    <row r="90">
      <c r="A90" s="19" t="n"/>
      <c r="B90" s="20" t="n"/>
      <c r="C90" s="20" t="n"/>
      <c r="D90" s="20" t="n"/>
      <c r="E90" s="20" t="n"/>
      <c r="F90" s="21" t="n"/>
      <c r="G90" s="21" t="n"/>
      <c r="H90" s="21" t="n"/>
      <c r="I90" s="22">
        <f>IF(A90="","",IF(H90&lt;&gt;"","Complete",IF(G90="","Open",IF(G90&lt;TODAY(),"Overdue",IF(G90-TODAY()&lt;=3,"Due Soon","Open")))))</f>
        <v/>
      </c>
      <c r="J90" s="23">
        <f>IF(OR(A90="",G90="",H90&lt;&gt;""),"",G90-TODAY())</f>
        <v/>
      </c>
      <c r="K90" s="23">
        <f>IF(OR(F90="",H90=""),"",H90-F90)</f>
        <v/>
      </c>
      <c r="L90" s="19" t="n"/>
      <c r="M90" s="20" t="n"/>
    </row>
    <row r="91">
      <c r="A91" s="19" t="n"/>
      <c r="B91" s="20" t="n"/>
      <c r="C91" s="20" t="n"/>
      <c r="D91" s="20" t="n"/>
      <c r="E91" s="20" t="n"/>
      <c r="F91" s="21" t="n"/>
      <c r="G91" s="21" t="n"/>
      <c r="H91" s="21" t="n"/>
      <c r="I91" s="22">
        <f>IF(A91="","",IF(H91&lt;&gt;"","Complete",IF(G91="","Open",IF(G91&lt;TODAY(),"Overdue",IF(G91-TODAY()&lt;=3,"Due Soon","Open")))))</f>
        <v/>
      </c>
      <c r="J91" s="23">
        <f>IF(OR(A91="",G91="",H91&lt;&gt;""),"",G91-TODAY())</f>
        <v/>
      </c>
      <c r="K91" s="23">
        <f>IF(OR(F91="",H91=""),"",H91-F91)</f>
        <v/>
      </c>
      <c r="L91" s="19" t="n"/>
      <c r="M91" s="20" t="n"/>
    </row>
    <row r="92">
      <c r="A92" s="19" t="n"/>
      <c r="B92" s="20" t="n"/>
      <c r="C92" s="20" t="n"/>
      <c r="D92" s="20" t="n"/>
      <c r="E92" s="20" t="n"/>
      <c r="F92" s="21" t="n"/>
      <c r="G92" s="21" t="n"/>
      <c r="H92" s="21" t="n"/>
      <c r="I92" s="22">
        <f>IF(A92="","",IF(H92&lt;&gt;"","Complete",IF(G92="","Open",IF(G92&lt;TODAY(),"Overdue",IF(G92-TODAY()&lt;=3,"Due Soon","Open")))))</f>
        <v/>
      </c>
      <c r="J92" s="23">
        <f>IF(OR(A92="",G92="",H92&lt;&gt;""),"",G92-TODAY())</f>
        <v/>
      </c>
      <c r="K92" s="23">
        <f>IF(OR(F92="",H92=""),"",H92-F92)</f>
        <v/>
      </c>
      <c r="L92" s="19" t="n"/>
      <c r="M92" s="20" t="n"/>
    </row>
    <row r="93">
      <c r="A93" s="19" t="n"/>
      <c r="B93" s="20" t="n"/>
      <c r="C93" s="20" t="n"/>
      <c r="D93" s="20" t="n"/>
      <c r="E93" s="20" t="n"/>
      <c r="F93" s="21" t="n"/>
      <c r="G93" s="21" t="n"/>
      <c r="H93" s="21" t="n"/>
      <c r="I93" s="22">
        <f>IF(A93="","",IF(H93&lt;&gt;"","Complete",IF(G93="","Open",IF(G93&lt;TODAY(),"Overdue",IF(G93-TODAY()&lt;=3,"Due Soon","Open")))))</f>
        <v/>
      </c>
      <c r="J93" s="23">
        <f>IF(OR(A93="",G93="",H93&lt;&gt;""),"",G93-TODAY())</f>
        <v/>
      </c>
      <c r="K93" s="23">
        <f>IF(OR(F93="",H93=""),"",H93-F93)</f>
        <v/>
      </c>
      <c r="L93" s="19" t="n"/>
      <c r="M93" s="20" t="n"/>
    </row>
    <row r="94">
      <c r="A94" s="19" t="n"/>
      <c r="B94" s="20" t="n"/>
      <c r="C94" s="20" t="n"/>
      <c r="D94" s="20" t="n"/>
      <c r="E94" s="20" t="n"/>
      <c r="F94" s="21" t="n"/>
      <c r="G94" s="21" t="n"/>
      <c r="H94" s="21" t="n"/>
      <c r="I94" s="22">
        <f>IF(A94="","",IF(H94&lt;&gt;"","Complete",IF(G94="","Open",IF(G94&lt;TODAY(),"Overdue",IF(G94-TODAY()&lt;=3,"Due Soon","Open")))))</f>
        <v/>
      </c>
      <c r="J94" s="23">
        <f>IF(OR(A94="",G94="",H94&lt;&gt;""),"",G94-TODAY())</f>
        <v/>
      </c>
      <c r="K94" s="23">
        <f>IF(OR(F94="",H94=""),"",H94-F94)</f>
        <v/>
      </c>
      <c r="L94" s="19" t="n"/>
      <c r="M94" s="20" t="n"/>
    </row>
    <row r="95">
      <c r="A95" s="19" t="n"/>
      <c r="B95" s="20" t="n"/>
      <c r="C95" s="20" t="n"/>
      <c r="D95" s="20" t="n"/>
      <c r="E95" s="20" t="n"/>
      <c r="F95" s="21" t="n"/>
      <c r="G95" s="21" t="n"/>
      <c r="H95" s="21" t="n"/>
      <c r="I95" s="22">
        <f>IF(A95="","",IF(H95&lt;&gt;"","Complete",IF(G95="","Open",IF(G95&lt;TODAY(),"Overdue",IF(G95-TODAY()&lt;=3,"Due Soon","Open")))))</f>
        <v/>
      </c>
      <c r="J95" s="23">
        <f>IF(OR(A95="",G95="",H95&lt;&gt;""),"",G95-TODAY())</f>
        <v/>
      </c>
      <c r="K95" s="23">
        <f>IF(OR(F95="",H95=""),"",H95-F95)</f>
        <v/>
      </c>
      <c r="L95" s="19" t="n"/>
      <c r="M95" s="20" t="n"/>
    </row>
    <row r="96">
      <c r="A96" s="19" t="n"/>
      <c r="B96" s="20" t="n"/>
      <c r="C96" s="20" t="n"/>
      <c r="D96" s="20" t="n"/>
      <c r="E96" s="20" t="n"/>
      <c r="F96" s="21" t="n"/>
      <c r="G96" s="21" t="n"/>
      <c r="H96" s="21" t="n"/>
      <c r="I96" s="22">
        <f>IF(A96="","",IF(H96&lt;&gt;"","Complete",IF(G96="","Open",IF(G96&lt;TODAY(),"Overdue",IF(G96-TODAY()&lt;=3,"Due Soon","Open")))))</f>
        <v/>
      </c>
      <c r="J96" s="23">
        <f>IF(OR(A96="",G96="",H96&lt;&gt;""),"",G96-TODAY())</f>
        <v/>
      </c>
      <c r="K96" s="23">
        <f>IF(OR(F96="",H96=""),"",H96-F96)</f>
        <v/>
      </c>
      <c r="L96" s="19" t="n"/>
      <c r="M96" s="20" t="n"/>
    </row>
    <row r="97">
      <c r="A97" s="19" t="n"/>
      <c r="B97" s="20" t="n"/>
      <c r="C97" s="20" t="n"/>
      <c r="D97" s="20" t="n"/>
      <c r="E97" s="20" t="n"/>
      <c r="F97" s="21" t="n"/>
      <c r="G97" s="21" t="n"/>
      <c r="H97" s="21" t="n"/>
      <c r="I97" s="22">
        <f>IF(A97="","",IF(H97&lt;&gt;"","Complete",IF(G97="","Open",IF(G97&lt;TODAY(),"Overdue",IF(G97-TODAY()&lt;=3,"Due Soon","Open")))))</f>
        <v/>
      </c>
      <c r="J97" s="23">
        <f>IF(OR(A97="",G97="",H97&lt;&gt;""),"",G97-TODAY())</f>
        <v/>
      </c>
      <c r="K97" s="23">
        <f>IF(OR(F97="",H97=""),"",H97-F97)</f>
        <v/>
      </c>
      <c r="L97" s="19" t="n"/>
      <c r="M97" s="20" t="n"/>
    </row>
    <row r="98">
      <c r="A98" s="19" t="n"/>
      <c r="B98" s="20" t="n"/>
      <c r="C98" s="20" t="n"/>
      <c r="D98" s="20" t="n"/>
      <c r="E98" s="20" t="n"/>
      <c r="F98" s="21" t="n"/>
      <c r="G98" s="21" t="n"/>
      <c r="H98" s="21" t="n"/>
      <c r="I98" s="22">
        <f>IF(A98="","",IF(H98&lt;&gt;"","Complete",IF(G98="","Open",IF(G98&lt;TODAY(),"Overdue",IF(G98-TODAY()&lt;=3,"Due Soon","Open")))))</f>
        <v/>
      </c>
      <c r="J98" s="23">
        <f>IF(OR(A98="",G98="",H98&lt;&gt;""),"",G98-TODAY())</f>
        <v/>
      </c>
      <c r="K98" s="23">
        <f>IF(OR(F98="",H98=""),"",H98-F98)</f>
        <v/>
      </c>
      <c r="L98" s="19" t="n"/>
      <c r="M98" s="20" t="n"/>
    </row>
    <row r="99">
      <c r="A99" s="19" t="n"/>
      <c r="B99" s="20" t="n"/>
      <c r="C99" s="20" t="n"/>
      <c r="D99" s="20" t="n"/>
      <c r="E99" s="20" t="n"/>
      <c r="F99" s="21" t="n"/>
      <c r="G99" s="21" t="n"/>
      <c r="H99" s="21" t="n"/>
      <c r="I99" s="22">
        <f>IF(A99="","",IF(H99&lt;&gt;"","Complete",IF(G99="","Open",IF(G99&lt;TODAY(),"Overdue",IF(G99-TODAY()&lt;=3,"Due Soon","Open")))))</f>
        <v/>
      </c>
      <c r="J99" s="23">
        <f>IF(OR(A99="",G99="",H99&lt;&gt;""),"",G99-TODAY())</f>
        <v/>
      </c>
      <c r="K99" s="23">
        <f>IF(OR(F99="",H99=""),"",H99-F99)</f>
        <v/>
      </c>
      <c r="L99" s="19" t="n"/>
      <c r="M99" s="20" t="n"/>
    </row>
    <row r="100">
      <c r="A100" s="19" t="n"/>
      <c r="B100" s="20" t="n"/>
      <c r="C100" s="20" t="n"/>
      <c r="D100" s="20" t="n"/>
      <c r="E100" s="20" t="n"/>
      <c r="F100" s="21" t="n"/>
      <c r="G100" s="21" t="n"/>
      <c r="H100" s="21" t="n"/>
      <c r="I100" s="22">
        <f>IF(A100="","",IF(H100&lt;&gt;"","Complete",IF(G100="","Open",IF(G100&lt;TODAY(),"Overdue",IF(G100-TODAY()&lt;=3,"Due Soon","Open")))))</f>
        <v/>
      </c>
      <c r="J100" s="23">
        <f>IF(OR(A100="",G100="",H100&lt;&gt;""),"",G100-TODAY())</f>
        <v/>
      </c>
      <c r="K100" s="23">
        <f>IF(OR(F100="",H100=""),"",H100-F100)</f>
        <v/>
      </c>
      <c r="L100" s="19" t="n"/>
      <c r="M100" s="20" t="n"/>
    </row>
    <row r="101">
      <c r="A101" s="19" t="n"/>
      <c r="B101" s="20" t="n"/>
      <c r="C101" s="20" t="n"/>
      <c r="D101" s="20" t="n"/>
      <c r="E101" s="20" t="n"/>
      <c r="F101" s="21" t="n"/>
      <c r="G101" s="21" t="n"/>
      <c r="H101" s="21" t="n"/>
      <c r="I101" s="22">
        <f>IF(A101="","",IF(H101&lt;&gt;"","Complete",IF(G101="","Open",IF(G101&lt;TODAY(),"Overdue",IF(G101-TODAY()&lt;=3,"Due Soon","Open")))))</f>
        <v/>
      </c>
      <c r="J101" s="23">
        <f>IF(OR(A101="",G101="",H101&lt;&gt;""),"",G101-TODAY())</f>
        <v/>
      </c>
      <c r="K101" s="23">
        <f>IF(OR(F101="",H101=""),"",H101-F101)</f>
        <v/>
      </c>
      <c r="L101" s="19" t="n"/>
      <c r="M101" s="20" t="n"/>
    </row>
    <row r="102">
      <c r="A102" s="19" t="n"/>
      <c r="B102" s="20" t="n"/>
      <c r="C102" s="20" t="n"/>
      <c r="D102" s="20" t="n"/>
      <c r="E102" s="20" t="n"/>
      <c r="F102" s="21" t="n"/>
      <c r="G102" s="21" t="n"/>
      <c r="H102" s="21" t="n"/>
      <c r="I102" s="22">
        <f>IF(A102="","",IF(H102&lt;&gt;"","Complete",IF(G102="","Open",IF(G102&lt;TODAY(),"Overdue",IF(G102-TODAY()&lt;=3,"Due Soon","Open")))))</f>
        <v/>
      </c>
      <c r="J102" s="23">
        <f>IF(OR(A102="",G102="",H102&lt;&gt;""),"",G102-TODAY())</f>
        <v/>
      </c>
      <c r="K102" s="23">
        <f>IF(OR(F102="",H102=""),"",H102-F102)</f>
        <v/>
      </c>
      <c r="L102" s="19" t="n"/>
      <c r="M102" s="20" t="n"/>
    </row>
    <row r="103">
      <c r="A103" s="19" t="n"/>
      <c r="B103" s="20" t="n"/>
      <c r="C103" s="20" t="n"/>
      <c r="D103" s="20" t="n"/>
      <c r="E103" s="20" t="n"/>
      <c r="F103" s="21" t="n"/>
      <c r="G103" s="21" t="n"/>
      <c r="H103" s="21" t="n"/>
      <c r="I103" s="22">
        <f>IF(A103="","",IF(H103&lt;&gt;"","Complete",IF(G103="","Open",IF(G103&lt;TODAY(),"Overdue",IF(G103-TODAY()&lt;=3,"Due Soon","Open")))))</f>
        <v/>
      </c>
      <c r="J103" s="23">
        <f>IF(OR(A103="",G103="",H103&lt;&gt;""),"",G103-TODAY())</f>
        <v/>
      </c>
      <c r="K103" s="23">
        <f>IF(OR(F103="",H103=""),"",H103-F103)</f>
        <v/>
      </c>
      <c r="L103" s="19" t="n"/>
      <c r="M103" s="20" t="n"/>
    </row>
    <row r="104">
      <c r="A104" s="19" t="n"/>
      <c r="B104" s="20" t="n"/>
      <c r="C104" s="20" t="n"/>
      <c r="D104" s="20" t="n"/>
      <c r="E104" s="20" t="n"/>
      <c r="F104" s="21" t="n"/>
      <c r="G104" s="21" t="n"/>
      <c r="H104" s="21" t="n"/>
      <c r="I104" s="22">
        <f>IF(A104="","",IF(H104&lt;&gt;"","Complete",IF(G104="","Open",IF(G104&lt;TODAY(),"Overdue",IF(G104-TODAY()&lt;=3,"Due Soon","Open")))))</f>
        <v/>
      </c>
      <c r="J104" s="23">
        <f>IF(OR(A104="",G104="",H104&lt;&gt;""),"",G104-TODAY())</f>
        <v/>
      </c>
      <c r="K104" s="23">
        <f>IF(OR(F104="",H104=""),"",H104-F104)</f>
        <v/>
      </c>
      <c r="L104" s="19" t="n"/>
      <c r="M104" s="20" t="n"/>
    </row>
    <row r="105">
      <c r="A105" s="19" t="n"/>
      <c r="B105" s="20" t="n"/>
      <c r="C105" s="20" t="n"/>
      <c r="D105" s="20" t="n"/>
      <c r="E105" s="20" t="n"/>
      <c r="F105" s="21" t="n"/>
      <c r="G105" s="21" t="n"/>
      <c r="H105" s="21" t="n"/>
      <c r="I105" s="22">
        <f>IF(A105="","",IF(H105&lt;&gt;"","Complete",IF(G105="","Open",IF(G105&lt;TODAY(),"Overdue",IF(G105-TODAY()&lt;=3,"Due Soon","Open")))))</f>
        <v/>
      </c>
      <c r="J105" s="23">
        <f>IF(OR(A105="",G105="",H105&lt;&gt;""),"",G105-TODAY())</f>
        <v/>
      </c>
      <c r="K105" s="23">
        <f>IF(OR(F105="",H105=""),"",H105-F105)</f>
        <v/>
      </c>
      <c r="L105" s="19" t="n"/>
      <c r="M105" s="20" t="n"/>
    </row>
    <row r="106">
      <c r="A106" s="19" t="n"/>
      <c r="B106" s="20" t="n"/>
      <c r="C106" s="20" t="n"/>
      <c r="D106" s="20" t="n"/>
      <c r="E106" s="20" t="n"/>
      <c r="F106" s="21" t="n"/>
      <c r="G106" s="21" t="n"/>
      <c r="H106" s="21" t="n"/>
      <c r="I106" s="22">
        <f>IF(A106="","",IF(H106&lt;&gt;"","Complete",IF(G106="","Open",IF(G106&lt;TODAY(),"Overdue",IF(G106-TODAY()&lt;=3,"Due Soon","Open")))))</f>
        <v/>
      </c>
      <c r="J106" s="23">
        <f>IF(OR(A106="",G106="",H106&lt;&gt;""),"",G106-TODAY())</f>
        <v/>
      </c>
      <c r="K106" s="23">
        <f>IF(OR(F106="",H106=""),"",H106-F106)</f>
        <v/>
      </c>
      <c r="L106" s="19" t="n"/>
      <c r="M106" s="20" t="n"/>
    </row>
    <row r="107">
      <c r="A107" s="19" t="n"/>
      <c r="B107" s="20" t="n"/>
      <c r="C107" s="20" t="n"/>
      <c r="D107" s="20" t="n"/>
      <c r="E107" s="20" t="n"/>
      <c r="F107" s="21" t="n"/>
      <c r="G107" s="21" t="n"/>
      <c r="H107" s="21" t="n"/>
      <c r="I107" s="22">
        <f>IF(A107="","",IF(H107&lt;&gt;"","Complete",IF(G107="","Open",IF(G107&lt;TODAY(),"Overdue",IF(G107-TODAY()&lt;=3,"Due Soon","Open")))))</f>
        <v/>
      </c>
      <c r="J107" s="23">
        <f>IF(OR(A107="",G107="",H107&lt;&gt;""),"",G107-TODAY())</f>
        <v/>
      </c>
      <c r="K107" s="23">
        <f>IF(OR(F107="",H107=""),"",H107-F107)</f>
        <v/>
      </c>
      <c r="L107" s="19" t="n"/>
      <c r="M107" s="20" t="n"/>
    </row>
    <row r="108">
      <c r="A108" s="19" t="n"/>
      <c r="B108" s="20" t="n"/>
      <c r="C108" s="20" t="n"/>
      <c r="D108" s="20" t="n"/>
      <c r="E108" s="20" t="n"/>
      <c r="F108" s="21" t="n"/>
      <c r="G108" s="21" t="n"/>
      <c r="H108" s="21" t="n"/>
      <c r="I108" s="22">
        <f>IF(A108="","",IF(H108&lt;&gt;"","Complete",IF(G108="","Open",IF(G108&lt;TODAY(),"Overdue",IF(G108-TODAY()&lt;=3,"Due Soon","Open")))))</f>
        <v/>
      </c>
      <c r="J108" s="23">
        <f>IF(OR(A108="",G108="",H108&lt;&gt;""),"",G108-TODAY())</f>
        <v/>
      </c>
      <c r="K108" s="23">
        <f>IF(OR(F108="",H108=""),"",H108-F108)</f>
        <v/>
      </c>
      <c r="L108" s="19" t="n"/>
      <c r="M108" s="20" t="n"/>
    </row>
    <row r="109">
      <c r="A109" s="19" t="n"/>
      <c r="B109" s="20" t="n"/>
      <c r="C109" s="20" t="n"/>
      <c r="D109" s="20" t="n"/>
      <c r="E109" s="20" t="n"/>
      <c r="F109" s="21" t="n"/>
      <c r="G109" s="21" t="n"/>
      <c r="H109" s="21" t="n"/>
      <c r="I109" s="22">
        <f>IF(A109="","",IF(H109&lt;&gt;"","Complete",IF(G109="","Open",IF(G109&lt;TODAY(),"Overdue",IF(G109-TODAY()&lt;=3,"Due Soon","Open")))))</f>
        <v/>
      </c>
      <c r="J109" s="23">
        <f>IF(OR(A109="",G109="",H109&lt;&gt;""),"",G109-TODAY())</f>
        <v/>
      </c>
      <c r="K109" s="23">
        <f>IF(OR(F109="",H109=""),"",H109-F109)</f>
        <v/>
      </c>
      <c r="L109" s="19" t="n"/>
      <c r="M109" s="20" t="n"/>
    </row>
    <row r="110">
      <c r="A110" s="19" t="n"/>
      <c r="B110" s="20" t="n"/>
      <c r="C110" s="20" t="n"/>
      <c r="D110" s="20" t="n"/>
      <c r="E110" s="20" t="n"/>
      <c r="F110" s="21" t="n"/>
      <c r="G110" s="21" t="n"/>
      <c r="H110" s="21" t="n"/>
      <c r="I110" s="22">
        <f>IF(A110="","",IF(H110&lt;&gt;"","Complete",IF(G110="","Open",IF(G110&lt;TODAY(),"Overdue",IF(G110-TODAY()&lt;=3,"Due Soon","Open")))))</f>
        <v/>
      </c>
      <c r="J110" s="23">
        <f>IF(OR(A110="",G110="",H110&lt;&gt;""),"",G110-TODAY())</f>
        <v/>
      </c>
      <c r="K110" s="23">
        <f>IF(OR(F110="",H110=""),"",H110-F110)</f>
        <v/>
      </c>
      <c r="L110" s="19" t="n"/>
      <c r="M110" s="20" t="n"/>
    </row>
    <row r="111">
      <c r="A111" s="19" t="n"/>
      <c r="B111" s="20" t="n"/>
      <c r="C111" s="20" t="n"/>
      <c r="D111" s="20" t="n"/>
      <c r="E111" s="20" t="n"/>
      <c r="F111" s="21" t="n"/>
      <c r="G111" s="21" t="n"/>
      <c r="H111" s="21" t="n"/>
      <c r="I111" s="22">
        <f>IF(A111="","",IF(H111&lt;&gt;"","Complete",IF(G111="","Open",IF(G111&lt;TODAY(),"Overdue",IF(G111-TODAY()&lt;=3,"Due Soon","Open")))))</f>
        <v/>
      </c>
      <c r="J111" s="23">
        <f>IF(OR(A111="",G111="",H111&lt;&gt;""),"",G111-TODAY())</f>
        <v/>
      </c>
      <c r="K111" s="23">
        <f>IF(OR(F111="",H111=""),"",H111-F111)</f>
        <v/>
      </c>
      <c r="L111" s="19" t="n"/>
      <c r="M111" s="20" t="n"/>
    </row>
    <row r="112">
      <c r="A112" s="19" t="n"/>
      <c r="B112" s="20" t="n"/>
      <c r="C112" s="20" t="n"/>
      <c r="D112" s="20" t="n"/>
      <c r="E112" s="20" t="n"/>
      <c r="F112" s="21" t="n"/>
      <c r="G112" s="21" t="n"/>
      <c r="H112" s="21" t="n"/>
      <c r="I112" s="22">
        <f>IF(A112="","",IF(H112&lt;&gt;"","Complete",IF(G112="","Open",IF(G112&lt;TODAY(),"Overdue",IF(G112-TODAY()&lt;=3,"Due Soon","Open")))))</f>
        <v/>
      </c>
      <c r="J112" s="23">
        <f>IF(OR(A112="",G112="",H112&lt;&gt;""),"",G112-TODAY())</f>
        <v/>
      </c>
      <c r="K112" s="23">
        <f>IF(OR(F112="",H112=""),"",H112-F112)</f>
        <v/>
      </c>
      <c r="L112" s="19" t="n"/>
      <c r="M112" s="20" t="n"/>
    </row>
    <row r="113">
      <c r="A113" s="19" t="n"/>
      <c r="B113" s="20" t="n"/>
      <c r="C113" s="20" t="n"/>
      <c r="D113" s="20" t="n"/>
      <c r="E113" s="20" t="n"/>
      <c r="F113" s="21" t="n"/>
      <c r="G113" s="21" t="n"/>
      <c r="H113" s="21" t="n"/>
      <c r="I113" s="22">
        <f>IF(A113="","",IF(H113&lt;&gt;"","Complete",IF(G113="","Open",IF(G113&lt;TODAY(),"Overdue",IF(G113-TODAY()&lt;=3,"Due Soon","Open")))))</f>
        <v/>
      </c>
      <c r="J113" s="23">
        <f>IF(OR(A113="",G113="",H113&lt;&gt;""),"",G113-TODAY())</f>
        <v/>
      </c>
      <c r="K113" s="23">
        <f>IF(OR(F113="",H113=""),"",H113-F113)</f>
        <v/>
      </c>
      <c r="L113" s="19" t="n"/>
      <c r="M113" s="20" t="n"/>
    </row>
    <row r="114">
      <c r="A114" s="19" t="n"/>
      <c r="B114" s="20" t="n"/>
      <c r="C114" s="20" t="n"/>
      <c r="D114" s="20" t="n"/>
      <c r="E114" s="20" t="n"/>
      <c r="F114" s="21" t="n"/>
      <c r="G114" s="21" t="n"/>
      <c r="H114" s="21" t="n"/>
      <c r="I114" s="22">
        <f>IF(A114="","",IF(H114&lt;&gt;"","Complete",IF(G114="","Open",IF(G114&lt;TODAY(),"Overdue",IF(G114-TODAY()&lt;=3,"Due Soon","Open")))))</f>
        <v/>
      </c>
      <c r="J114" s="23">
        <f>IF(OR(A114="",G114="",H114&lt;&gt;""),"",G114-TODAY())</f>
        <v/>
      </c>
      <c r="K114" s="23">
        <f>IF(OR(F114="",H114=""),"",H114-F114)</f>
        <v/>
      </c>
      <c r="L114" s="19" t="n"/>
      <c r="M114" s="20" t="n"/>
    </row>
    <row r="115">
      <c r="A115" s="19" t="n"/>
      <c r="B115" s="20" t="n"/>
      <c r="C115" s="20" t="n"/>
      <c r="D115" s="20" t="n"/>
      <c r="E115" s="20" t="n"/>
      <c r="F115" s="21" t="n"/>
      <c r="G115" s="21" t="n"/>
      <c r="H115" s="21" t="n"/>
      <c r="I115" s="22">
        <f>IF(A115="","",IF(H115&lt;&gt;"","Complete",IF(G115="","Open",IF(G115&lt;TODAY(),"Overdue",IF(G115-TODAY()&lt;=3,"Due Soon","Open")))))</f>
        <v/>
      </c>
      <c r="J115" s="23">
        <f>IF(OR(A115="",G115="",H115&lt;&gt;""),"",G115-TODAY())</f>
        <v/>
      </c>
      <c r="K115" s="23">
        <f>IF(OR(F115="",H115=""),"",H115-F115)</f>
        <v/>
      </c>
      <c r="L115" s="19" t="n"/>
      <c r="M115" s="20" t="n"/>
    </row>
    <row r="116">
      <c r="A116" s="19" t="n"/>
      <c r="B116" s="20" t="n"/>
      <c r="C116" s="20" t="n"/>
      <c r="D116" s="20" t="n"/>
      <c r="E116" s="20" t="n"/>
      <c r="F116" s="21" t="n"/>
      <c r="G116" s="21" t="n"/>
      <c r="H116" s="21" t="n"/>
      <c r="I116" s="22">
        <f>IF(A116="","",IF(H116&lt;&gt;"","Complete",IF(G116="","Open",IF(G116&lt;TODAY(),"Overdue",IF(G116-TODAY()&lt;=3,"Due Soon","Open")))))</f>
        <v/>
      </c>
      <c r="J116" s="23">
        <f>IF(OR(A116="",G116="",H116&lt;&gt;""),"",G116-TODAY())</f>
        <v/>
      </c>
      <c r="K116" s="23">
        <f>IF(OR(F116="",H116=""),"",H116-F116)</f>
        <v/>
      </c>
      <c r="L116" s="19" t="n"/>
      <c r="M116" s="20" t="n"/>
    </row>
    <row r="117">
      <c r="A117" s="19" t="n"/>
      <c r="B117" s="20" t="n"/>
      <c r="C117" s="20" t="n"/>
      <c r="D117" s="20" t="n"/>
      <c r="E117" s="20" t="n"/>
      <c r="F117" s="21" t="n"/>
      <c r="G117" s="21" t="n"/>
      <c r="H117" s="21" t="n"/>
      <c r="I117" s="22">
        <f>IF(A117="","",IF(H117&lt;&gt;"","Complete",IF(G117="","Open",IF(G117&lt;TODAY(),"Overdue",IF(G117-TODAY()&lt;=3,"Due Soon","Open")))))</f>
        <v/>
      </c>
      <c r="J117" s="23">
        <f>IF(OR(A117="",G117="",H117&lt;&gt;""),"",G117-TODAY())</f>
        <v/>
      </c>
      <c r="K117" s="23">
        <f>IF(OR(F117="",H117=""),"",H117-F117)</f>
        <v/>
      </c>
      <c r="L117" s="19" t="n"/>
      <c r="M117" s="20" t="n"/>
    </row>
    <row r="118">
      <c r="A118" s="19" t="n"/>
      <c r="B118" s="20" t="n"/>
      <c r="C118" s="20" t="n"/>
      <c r="D118" s="20" t="n"/>
      <c r="E118" s="20" t="n"/>
      <c r="F118" s="21" t="n"/>
      <c r="G118" s="21" t="n"/>
      <c r="H118" s="21" t="n"/>
      <c r="I118" s="22">
        <f>IF(A118="","",IF(H118&lt;&gt;"","Complete",IF(G118="","Open",IF(G118&lt;TODAY(),"Overdue",IF(G118-TODAY()&lt;=3,"Due Soon","Open")))))</f>
        <v/>
      </c>
      <c r="J118" s="23">
        <f>IF(OR(A118="",G118="",H118&lt;&gt;""),"",G118-TODAY())</f>
        <v/>
      </c>
      <c r="K118" s="23">
        <f>IF(OR(F118="",H118=""),"",H118-F118)</f>
        <v/>
      </c>
      <c r="L118" s="19" t="n"/>
      <c r="M118" s="20" t="n"/>
    </row>
    <row r="119">
      <c r="A119" s="19" t="n"/>
      <c r="B119" s="20" t="n"/>
      <c r="C119" s="20" t="n"/>
      <c r="D119" s="20" t="n"/>
      <c r="E119" s="20" t="n"/>
      <c r="F119" s="21" t="n"/>
      <c r="G119" s="21" t="n"/>
      <c r="H119" s="21" t="n"/>
      <c r="I119" s="22">
        <f>IF(A119="","",IF(H119&lt;&gt;"","Complete",IF(G119="","Open",IF(G119&lt;TODAY(),"Overdue",IF(G119-TODAY()&lt;=3,"Due Soon","Open")))))</f>
        <v/>
      </c>
      <c r="J119" s="23">
        <f>IF(OR(A119="",G119="",H119&lt;&gt;""),"",G119-TODAY())</f>
        <v/>
      </c>
      <c r="K119" s="23">
        <f>IF(OR(F119="",H119=""),"",H119-F119)</f>
        <v/>
      </c>
      <c r="L119" s="19" t="n"/>
      <c r="M119" s="20" t="n"/>
    </row>
    <row r="120">
      <c r="A120" s="19" t="n"/>
      <c r="B120" s="20" t="n"/>
      <c r="C120" s="20" t="n"/>
      <c r="D120" s="20" t="n"/>
      <c r="E120" s="20" t="n"/>
      <c r="F120" s="21" t="n"/>
      <c r="G120" s="21" t="n"/>
      <c r="H120" s="21" t="n"/>
      <c r="I120" s="22">
        <f>IF(A120="","",IF(H120&lt;&gt;"","Complete",IF(G120="","Open",IF(G120&lt;TODAY(),"Overdue",IF(G120-TODAY()&lt;=3,"Due Soon","Open")))))</f>
        <v/>
      </c>
      <c r="J120" s="23">
        <f>IF(OR(A120="",G120="",H120&lt;&gt;""),"",G120-TODAY())</f>
        <v/>
      </c>
      <c r="K120" s="23">
        <f>IF(OR(F120="",H120=""),"",H120-F120)</f>
        <v/>
      </c>
      <c r="L120" s="19" t="n"/>
      <c r="M120" s="20" t="n"/>
    </row>
    <row r="121">
      <c r="A121" s="19" t="n"/>
      <c r="B121" s="20" t="n"/>
      <c r="C121" s="20" t="n"/>
      <c r="D121" s="20" t="n"/>
      <c r="E121" s="20" t="n"/>
      <c r="F121" s="21" t="n"/>
      <c r="G121" s="21" t="n"/>
      <c r="H121" s="21" t="n"/>
      <c r="I121" s="22">
        <f>IF(A121="","",IF(H121&lt;&gt;"","Complete",IF(G121="","Open",IF(G121&lt;TODAY(),"Overdue",IF(G121-TODAY()&lt;=3,"Due Soon","Open")))))</f>
        <v/>
      </c>
      <c r="J121" s="23">
        <f>IF(OR(A121="",G121="",H121&lt;&gt;""),"",G121-TODAY())</f>
        <v/>
      </c>
      <c r="K121" s="23">
        <f>IF(OR(F121="",H121=""),"",H121-F121)</f>
        <v/>
      </c>
      <c r="L121" s="19" t="n"/>
      <c r="M121" s="20" t="n"/>
    </row>
    <row r="122">
      <c r="A122" s="19" t="n"/>
      <c r="B122" s="20" t="n"/>
      <c r="C122" s="20" t="n"/>
      <c r="D122" s="20" t="n"/>
      <c r="E122" s="20" t="n"/>
      <c r="F122" s="21" t="n"/>
      <c r="G122" s="21" t="n"/>
      <c r="H122" s="21" t="n"/>
      <c r="I122" s="22">
        <f>IF(A122="","",IF(H122&lt;&gt;"","Complete",IF(G122="","Open",IF(G122&lt;TODAY(),"Overdue",IF(G122-TODAY()&lt;=3,"Due Soon","Open")))))</f>
        <v/>
      </c>
      <c r="J122" s="23">
        <f>IF(OR(A122="",G122="",H122&lt;&gt;""),"",G122-TODAY())</f>
        <v/>
      </c>
      <c r="K122" s="23">
        <f>IF(OR(F122="",H122=""),"",H122-F122)</f>
        <v/>
      </c>
      <c r="L122" s="19" t="n"/>
      <c r="M122" s="20" t="n"/>
    </row>
    <row r="123">
      <c r="A123" s="19" t="n"/>
      <c r="B123" s="20" t="n"/>
      <c r="C123" s="20" t="n"/>
      <c r="D123" s="20" t="n"/>
      <c r="E123" s="20" t="n"/>
      <c r="F123" s="21" t="n"/>
      <c r="G123" s="21" t="n"/>
      <c r="H123" s="21" t="n"/>
      <c r="I123" s="22">
        <f>IF(A123="","",IF(H123&lt;&gt;"","Complete",IF(G123="","Open",IF(G123&lt;TODAY(),"Overdue",IF(G123-TODAY()&lt;=3,"Due Soon","Open")))))</f>
        <v/>
      </c>
      <c r="J123" s="23">
        <f>IF(OR(A123="",G123="",H123&lt;&gt;""),"",G123-TODAY())</f>
        <v/>
      </c>
      <c r="K123" s="23">
        <f>IF(OR(F123="",H123=""),"",H123-F123)</f>
        <v/>
      </c>
      <c r="L123" s="19" t="n"/>
      <c r="M123" s="20" t="n"/>
    </row>
    <row r="124">
      <c r="A124" s="19" t="n"/>
      <c r="B124" s="20" t="n"/>
      <c r="C124" s="20" t="n"/>
      <c r="D124" s="20" t="n"/>
      <c r="E124" s="20" t="n"/>
      <c r="F124" s="21" t="n"/>
      <c r="G124" s="21" t="n"/>
      <c r="H124" s="21" t="n"/>
      <c r="I124" s="22">
        <f>IF(A124="","",IF(H124&lt;&gt;"","Complete",IF(G124="","Open",IF(G124&lt;TODAY(),"Overdue",IF(G124-TODAY()&lt;=3,"Due Soon","Open")))))</f>
        <v/>
      </c>
      <c r="J124" s="23">
        <f>IF(OR(A124="",G124="",H124&lt;&gt;""),"",G124-TODAY())</f>
        <v/>
      </c>
      <c r="K124" s="23">
        <f>IF(OR(F124="",H124=""),"",H124-F124)</f>
        <v/>
      </c>
      <c r="L124" s="19" t="n"/>
      <c r="M124" s="20" t="n"/>
    </row>
    <row r="125">
      <c r="A125" s="19" t="n"/>
      <c r="B125" s="20" t="n"/>
      <c r="C125" s="20" t="n"/>
      <c r="D125" s="20" t="n"/>
      <c r="E125" s="20" t="n"/>
      <c r="F125" s="21" t="n"/>
      <c r="G125" s="21" t="n"/>
      <c r="H125" s="21" t="n"/>
      <c r="I125" s="22">
        <f>IF(A125="","",IF(H125&lt;&gt;"","Complete",IF(G125="","Open",IF(G125&lt;TODAY(),"Overdue",IF(G125-TODAY()&lt;=3,"Due Soon","Open")))))</f>
        <v/>
      </c>
      <c r="J125" s="23">
        <f>IF(OR(A125="",G125="",H125&lt;&gt;""),"",G125-TODAY())</f>
        <v/>
      </c>
      <c r="K125" s="23">
        <f>IF(OR(F125="",H125=""),"",H125-F125)</f>
        <v/>
      </c>
      <c r="L125" s="19" t="n"/>
      <c r="M125" s="20" t="n"/>
    </row>
    <row r="126">
      <c r="A126" s="19" t="n"/>
      <c r="B126" s="20" t="n"/>
      <c r="C126" s="20" t="n"/>
      <c r="D126" s="20" t="n"/>
      <c r="E126" s="20" t="n"/>
      <c r="F126" s="21" t="n"/>
      <c r="G126" s="21" t="n"/>
      <c r="H126" s="21" t="n"/>
      <c r="I126" s="22">
        <f>IF(A126="","",IF(H126&lt;&gt;"","Complete",IF(G126="","Open",IF(G126&lt;TODAY(),"Overdue",IF(G126-TODAY()&lt;=3,"Due Soon","Open")))))</f>
        <v/>
      </c>
      <c r="J126" s="23">
        <f>IF(OR(A126="",G126="",H126&lt;&gt;""),"",G126-TODAY())</f>
        <v/>
      </c>
      <c r="K126" s="23">
        <f>IF(OR(F126="",H126=""),"",H126-F126)</f>
        <v/>
      </c>
      <c r="L126" s="19" t="n"/>
      <c r="M126" s="20" t="n"/>
    </row>
    <row r="127">
      <c r="A127" s="19" t="n"/>
      <c r="B127" s="20" t="n"/>
      <c r="C127" s="20" t="n"/>
      <c r="D127" s="20" t="n"/>
      <c r="E127" s="20" t="n"/>
      <c r="F127" s="21" t="n"/>
      <c r="G127" s="21" t="n"/>
      <c r="H127" s="21" t="n"/>
      <c r="I127" s="22">
        <f>IF(A127="","",IF(H127&lt;&gt;"","Complete",IF(G127="","Open",IF(G127&lt;TODAY(),"Overdue",IF(G127-TODAY()&lt;=3,"Due Soon","Open")))))</f>
        <v/>
      </c>
      <c r="J127" s="23">
        <f>IF(OR(A127="",G127="",H127&lt;&gt;""),"",G127-TODAY())</f>
        <v/>
      </c>
      <c r="K127" s="23">
        <f>IF(OR(F127="",H127=""),"",H127-F127)</f>
        <v/>
      </c>
      <c r="L127" s="19" t="n"/>
      <c r="M127" s="20" t="n"/>
    </row>
    <row r="128">
      <c r="A128" s="19" t="n"/>
      <c r="B128" s="20" t="n"/>
      <c r="C128" s="20" t="n"/>
      <c r="D128" s="20" t="n"/>
      <c r="E128" s="20" t="n"/>
      <c r="F128" s="21" t="n"/>
      <c r="G128" s="21" t="n"/>
      <c r="H128" s="21" t="n"/>
      <c r="I128" s="22">
        <f>IF(A128="","",IF(H128&lt;&gt;"","Complete",IF(G128="","Open",IF(G128&lt;TODAY(),"Overdue",IF(G128-TODAY()&lt;=3,"Due Soon","Open")))))</f>
        <v/>
      </c>
      <c r="J128" s="23">
        <f>IF(OR(A128="",G128="",H128&lt;&gt;""),"",G128-TODAY())</f>
        <v/>
      </c>
      <c r="K128" s="23">
        <f>IF(OR(F128="",H128=""),"",H128-F128)</f>
        <v/>
      </c>
      <c r="L128" s="19" t="n"/>
      <c r="M128" s="20" t="n"/>
    </row>
    <row r="129">
      <c r="A129" s="19" t="n"/>
      <c r="B129" s="20" t="n"/>
      <c r="C129" s="20" t="n"/>
      <c r="D129" s="20" t="n"/>
      <c r="E129" s="20" t="n"/>
      <c r="F129" s="21" t="n"/>
      <c r="G129" s="21" t="n"/>
      <c r="H129" s="21" t="n"/>
      <c r="I129" s="22">
        <f>IF(A129="","",IF(H129&lt;&gt;"","Complete",IF(G129="","Open",IF(G129&lt;TODAY(),"Overdue",IF(G129-TODAY()&lt;=3,"Due Soon","Open")))))</f>
        <v/>
      </c>
      <c r="J129" s="23">
        <f>IF(OR(A129="",G129="",H129&lt;&gt;""),"",G129-TODAY())</f>
        <v/>
      </c>
      <c r="K129" s="23">
        <f>IF(OR(F129="",H129=""),"",H129-F129)</f>
        <v/>
      </c>
      <c r="L129" s="19" t="n"/>
      <c r="M129" s="20" t="n"/>
    </row>
    <row r="130">
      <c r="A130" s="19" t="n"/>
      <c r="B130" s="20" t="n"/>
      <c r="C130" s="20" t="n"/>
      <c r="D130" s="20" t="n"/>
      <c r="E130" s="20" t="n"/>
      <c r="F130" s="21" t="n"/>
      <c r="G130" s="21" t="n"/>
      <c r="H130" s="21" t="n"/>
      <c r="I130" s="22">
        <f>IF(A130="","",IF(H130&lt;&gt;"","Complete",IF(G130="","Open",IF(G130&lt;TODAY(),"Overdue",IF(G130-TODAY()&lt;=3,"Due Soon","Open")))))</f>
        <v/>
      </c>
      <c r="J130" s="23">
        <f>IF(OR(A130="",G130="",H130&lt;&gt;""),"",G130-TODAY())</f>
        <v/>
      </c>
      <c r="K130" s="23">
        <f>IF(OR(F130="",H130=""),"",H130-F130)</f>
        <v/>
      </c>
      <c r="L130" s="19" t="n"/>
      <c r="M130" s="20" t="n"/>
    </row>
    <row r="131">
      <c r="A131" s="19" t="n"/>
      <c r="B131" s="20" t="n"/>
      <c r="C131" s="20" t="n"/>
      <c r="D131" s="20" t="n"/>
      <c r="E131" s="20" t="n"/>
      <c r="F131" s="21" t="n"/>
      <c r="G131" s="21" t="n"/>
      <c r="H131" s="21" t="n"/>
      <c r="I131" s="22">
        <f>IF(A131="","",IF(H131&lt;&gt;"","Complete",IF(G131="","Open",IF(G131&lt;TODAY(),"Overdue",IF(G131-TODAY()&lt;=3,"Due Soon","Open")))))</f>
        <v/>
      </c>
      <c r="J131" s="23">
        <f>IF(OR(A131="",G131="",H131&lt;&gt;""),"",G131-TODAY())</f>
        <v/>
      </c>
      <c r="K131" s="23">
        <f>IF(OR(F131="",H131=""),"",H131-F131)</f>
        <v/>
      </c>
      <c r="L131" s="19" t="n"/>
      <c r="M131" s="20" t="n"/>
    </row>
    <row r="132">
      <c r="A132" s="19" t="n"/>
      <c r="B132" s="20" t="n"/>
      <c r="C132" s="20" t="n"/>
      <c r="D132" s="20" t="n"/>
      <c r="E132" s="20" t="n"/>
      <c r="F132" s="21" t="n"/>
      <c r="G132" s="21" t="n"/>
      <c r="H132" s="21" t="n"/>
      <c r="I132" s="22">
        <f>IF(A132="","",IF(H132&lt;&gt;"","Complete",IF(G132="","Open",IF(G132&lt;TODAY(),"Overdue",IF(G132-TODAY()&lt;=3,"Due Soon","Open")))))</f>
        <v/>
      </c>
      <c r="J132" s="23">
        <f>IF(OR(A132="",G132="",H132&lt;&gt;""),"",G132-TODAY())</f>
        <v/>
      </c>
      <c r="K132" s="23">
        <f>IF(OR(F132="",H132=""),"",H132-F132)</f>
        <v/>
      </c>
      <c r="L132" s="19" t="n"/>
      <c r="M132" s="20" t="n"/>
    </row>
    <row r="133">
      <c r="A133" s="19" t="n"/>
      <c r="B133" s="20" t="n"/>
      <c r="C133" s="20" t="n"/>
      <c r="D133" s="20" t="n"/>
      <c r="E133" s="20" t="n"/>
      <c r="F133" s="21" t="n"/>
      <c r="G133" s="21" t="n"/>
      <c r="H133" s="21" t="n"/>
      <c r="I133" s="22">
        <f>IF(A133="","",IF(H133&lt;&gt;"","Complete",IF(G133="","Open",IF(G133&lt;TODAY(),"Overdue",IF(G133-TODAY()&lt;=3,"Due Soon","Open")))))</f>
        <v/>
      </c>
      <c r="J133" s="23">
        <f>IF(OR(A133="",G133="",H133&lt;&gt;""),"",G133-TODAY())</f>
        <v/>
      </c>
      <c r="K133" s="23">
        <f>IF(OR(F133="",H133=""),"",H133-F133)</f>
        <v/>
      </c>
      <c r="L133" s="19" t="n"/>
      <c r="M133" s="20" t="n"/>
    </row>
    <row r="134">
      <c r="A134" s="19" t="n"/>
      <c r="B134" s="20" t="n"/>
      <c r="C134" s="20" t="n"/>
      <c r="D134" s="20" t="n"/>
      <c r="E134" s="20" t="n"/>
      <c r="F134" s="21" t="n"/>
      <c r="G134" s="21" t="n"/>
      <c r="H134" s="21" t="n"/>
      <c r="I134" s="22">
        <f>IF(A134="","",IF(H134&lt;&gt;"","Complete",IF(G134="","Open",IF(G134&lt;TODAY(),"Overdue",IF(G134-TODAY()&lt;=3,"Due Soon","Open")))))</f>
        <v/>
      </c>
      <c r="J134" s="23">
        <f>IF(OR(A134="",G134="",H134&lt;&gt;""),"",G134-TODAY())</f>
        <v/>
      </c>
      <c r="K134" s="23">
        <f>IF(OR(F134="",H134=""),"",H134-F134)</f>
        <v/>
      </c>
      <c r="L134" s="19" t="n"/>
      <c r="M134" s="20" t="n"/>
    </row>
    <row r="135">
      <c r="A135" s="19" t="n"/>
      <c r="B135" s="20" t="n"/>
      <c r="C135" s="20" t="n"/>
      <c r="D135" s="20" t="n"/>
      <c r="E135" s="20" t="n"/>
      <c r="F135" s="21" t="n"/>
      <c r="G135" s="21" t="n"/>
      <c r="H135" s="21" t="n"/>
      <c r="I135" s="22">
        <f>IF(A135="","",IF(H135&lt;&gt;"","Complete",IF(G135="","Open",IF(G135&lt;TODAY(),"Overdue",IF(G135-TODAY()&lt;=3,"Due Soon","Open")))))</f>
        <v/>
      </c>
      <c r="J135" s="23">
        <f>IF(OR(A135="",G135="",H135&lt;&gt;""),"",G135-TODAY())</f>
        <v/>
      </c>
      <c r="K135" s="23">
        <f>IF(OR(F135="",H135=""),"",H135-F135)</f>
        <v/>
      </c>
      <c r="L135" s="19" t="n"/>
      <c r="M135" s="20" t="n"/>
    </row>
    <row r="136">
      <c r="A136" s="19" t="n"/>
      <c r="B136" s="20" t="n"/>
      <c r="C136" s="20" t="n"/>
      <c r="D136" s="20" t="n"/>
      <c r="E136" s="20" t="n"/>
      <c r="F136" s="21" t="n"/>
      <c r="G136" s="21" t="n"/>
      <c r="H136" s="21" t="n"/>
      <c r="I136" s="22">
        <f>IF(A136="","",IF(H136&lt;&gt;"","Complete",IF(G136="","Open",IF(G136&lt;TODAY(),"Overdue",IF(G136-TODAY()&lt;=3,"Due Soon","Open")))))</f>
        <v/>
      </c>
      <c r="J136" s="23">
        <f>IF(OR(A136="",G136="",H136&lt;&gt;""),"",G136-TODAY())</f>
        <v/>
      </c>
      <c r="K136" s="23">
        <f>IF(OR(F136="",H136=""),"",H136-F136)</f>
        <v/>
      </c>
      <c r="L136" s="19" t="n"/>
      <c r="M136" s="20" t="n"/>
    </row>
    <row r="137">
      <c r="A137" s="19" t="n"/>
      <c r="B137" s="20" t="n"/>
      <c r="C137" s="20" t="n"/>
      <c r="D137" s="20" t="n"/>
      <c r="E137" s="20" t="n"/>
      <c r="F137" s="21" t="n"/>
      <c r="G137" s="21" t="n"/>
      <c r="H137" s="21" t="n"/>
      <c r="I137" s="22">
        <f>IF(A137="","",IF(H137&lt;&gt;"","Complete",IF(G137="","Open",IF(G137&lt;TODAY(),"Overdue",IF(G137-TODAY()&lt;=3,"Due Soon","Open")))))</f>
        <v/>
      </c>
      <c r="J137" s="23">
        <f>IF(OR(A137="",G137="",H137&lt;&gt;""),"",G137-TODAY())</f>
        <v/>
      </c>
      <c r="K137" s="23">
        <f>IF(OR(F137="",H137=""),"",H137-F137)</f>
        <v/>
      </c>
      <c r="L137" s="19" t="n"/>
      <c r="M137" s="20" t="n"/>
    </row>
    <row r="138">
      <c r="A138" s="19" t="n"/>
      <c r="B138" s="20" t="n"/>
      <c r="C138" s="20" t="n"/>
      <c r="D138" s="20" t="n"/>
      <c r="E138" s="20" t="n"/>
      <c r="F138" s="21" t="n"/>
      <c r="G138" s="21" t="n"/>
      <c r="H138" s="21" t="n"/>
      <c r="I138" s="22">
        <f>IF(A138="","",IF(H138&lt;&gt;"","Complete",IF(G138="","Open",IF(G138&lt;TODAY(),"Overdue",IF(G138-TODAY()&lt;=3,"Due Soon","Open")))))</f>
        <v/>
      </c>
      <c r="J138" s="23">
        <f>IF(OR(A138="",G138="",H138&lt;&gt;""),"",G138-TODAY())</f>
        <v/>
      </c>
      <c r="K138" s="23">
        <f>IF(OR(F138="",H138=""),"",H138-F138)</f>
        <v/>
      </c>
      <c r="L138" s="19" t="n"/>
      <c r="M138" s="20" t="n"/>
    </row>
    <row r="139">
      <c r="A139" s="19" t="n"/>
      <c r="B139" s="20" t="n"/>
      <c r="C139" s="20" t="n"/>
      <c r="D139" s="20" t="n"/>
      <c r="E139" s="20" t="n"/>
      <c r="F139" s="21" t="n"/>
      <c r="G139" s="21" t="n"/>
      <c r="H139" s="21" t="n"/>
      <c r="I139" s="22">
        <f>IF(A139="","",IF(H139&lt;&gt;"","Complete",IF(G139="","Open",IF(G139&lt;TODAY(),"Overdue",IF(G139-TODAY()&lt;=3,"Due Soon","Open")))))</f>
        <v/>
      </c>
      <c r="J139" s="23">
        <f>IF(OR(A139="",G139="",H139&lt;&gt;""),"",G139-TODAY())</f>
        <v/>
      </c>
      <c r="K139" s="23">
        <f>IF(OR(F139="",H139=""),"",H139-F139)</f>
        <v/>
      </c>
      <c r="L139" s="19" t="n"/>
      <c r="M139" s="20" t="n"/>
    </row>
    <row r="140">
      <c r="A140" s="19" t="n"/>
      <c r="B140" s="20" t="n"/>
      <c r="C140" s="20" t="n"/>
      <c r="D140" s="20" t="n"/>
      <c r="E140" s="20" t="n"/>
      <c r="F140" s="21" t="n"/>
      <c r="G140" s="21" t="n"/>
      <c r="H140" s="21" t="n"/>
      <c r="I140" s="22">
        <f>IF(A140="","",IF(H140&lt;&gt;"","Complete",IF(G140="","Open",IF(G140&lt;TODAY(),"Overdue",IF(G140-TODAY()&lt;=3,"Due Soon","Open")))))</f>
        <v/>
      </c>
      <c r="J140" s="23">
        <f>IF(OR(A140="",G140="",H140&lt;&gt;""),"",G140-TODAY())</f>
        <v/>
      </c>
      <c r="K140" s="23">
        <f>IF(OR(F140="",H140=""),"",H140-F140)</f>
        <v/>
      </c>
      <c r="L140" s="19" t="n"/>
      <c r="M140" s="20" t="n"/>
    </row>
    <row r="141">
      <c r="A141" s="19" t="n"/>
      <c r="B141" s="20" t="n"/>
      <c r="C141" s="20" t="n"/>
      <c r="D141" s="20" t="n"/>
      <c r="E141" s="20" t="n"/>
      <c r="F141" s="21" t="n"/>
      <c r="G141" s="21" t="n"/>
      <c r="H141" s="21" t="n"/>
      <c r="I141" s="22">
        <f>IF(A141="","",IF(H141&lt;&gt;"","Complete",IF(G141="","Open",IF(G141&lt;TODAY(),"Overdue",IF(G141-TODAY()&lt;=3,"Due Soon","Open")))))</f>
        <v/>
      </c>
      <c r="J141" s="23">
        <f>IF(OR(A141="",G141="",H141&lt;&gt;""),"",G141-TODAY())</f>
        <v/>
      </c>
      <c r="K141" s="23">
        <f>IF(OR(F141="",H141=""),"",H141-F141)</f>
        <v/>
      </c>
      <c r="L141" s="19" t="n"/>
      <c r="M141" s="20" t="n"/>
    </row>
    <row r="142">
      <c r="A142" s="19" t="n"/>
      <c r="B142" s="20" t="n"/>
      <c r="C142" s="20" t="n"/>
      <c r="D142" s="20" t="n"/>
      <c r="E142" s="20" t="n"/>
      <c r="F142" s="21" t="n"/>
      <c r="G142" s="21" t="n"/>
      <c r="H142" s="21" t="n"/>
      <c r="I142" s="22">
        <f>IF(A142="","",IF(H142&lt;&gt;"","Complete",IF(G142="","Open",IF(G142&lt;TODAY(),"Overdue",IF(G142-TODAY()&lt;=3,"Due Soon","Open")))))</f>
        <v/>
      </c>
      <c r="J142" s="23">
        <f>IF(OR(A142="",G142="",H142&lt;&gt;""),"",G142-TODAY())</f>
        <v/>
      </c>
      <c r="K142" s="23">
        <f>IF(OR(F142="",H142=""),"",H142-F142)</f>
        <v/>
      </c>
      <c r="L142" s="19" t="n"/>
      <c r="M142" s="20" t="n"/>
    </row>
    <row r="143">
      <c r="A143" s="19" t="n"/>
      <c r="B143" s="20" t="n"/>
      <c r="C143" s="20" t="n"/>
      <c r="D143" s="20" t="n"/>
      <c r="E143" s="20" t="n"/>
      <c r="F143" s="21" t="n"/>
      <c r="G143" s="21" t="n"/>
      <c r="H143" s="21" t="n"/>
      <c r="I143" s="22">
        <f>IF(A143="","",IF(H143&lt;&gt;"","Complete",IF(G143="","Open",IF(G143&lt;TODAY(),"Overdue",IF(G143-TODAY()&lt;=3,"Due Soon","Open")))))</f>
        <v/>
      </c>
      <c r="J143" s="23">
        <f>IF(OR(A143="",G143="",H143&lt;&gt;""),"",G143-TODAY())</f>
        <v/>
      </c>
      <c r="K143" s="23">
        <f>IF(OR(F143="",H143=""),"",H143-F143)</f>
        <v/>
      </c>
      <c r="L143" s="19" t="n"/>
      <c r="M143" s="20" t="n"/>
    </row>
    <row r="144">
      <c r="A144" s="19" t="n"/>
      <c r="B144" s="20" t="n"/>
      <c r="C144" s="20" t="n"/>
      <c r="D144" s="20" t="n"/>
      <c r="E144" s="20" t="n"/>
      <c r="F144" s="21" t="n"/>
      <c r="G144" s="21" t="n"/>
      <c r="H144" s="21" t="n"/>
      <c r="I144" s="22">
        <f>IF(A144="","",IF(H144&lt;&gt;"","Complete",IF(G144="","Open",IF(G144&lt;TODAY(),"Overdue",IF(G144-TODAY()&lt;=3,"Due Soon","Open")))))</f>
        <v/>
      </c>
      <c r="J144" s="23">
        <f>IF(OR(A144="",G144="",H144&lt;&gt;""),"",G144-TODAY())</f>
        <v/>
      </c>
      <c r="K144" s="23">
        <f>IF(OR(F144="",H144=""),"",H144-F144)</f>
        <v/>
      </c>
      <c r="L144" s="19" t="n"/>
      <c r="M144" s="20" t="n"/>
    </row>
    <row r="145">
      <c r="A145" s="19" t="n"/>
      <c r="B145" s="20" t="n"/>
      <c r="C145" s="20" t="n"/>
      <c r="D145" s="20" t="n"/>
      <c r="E145" s="20" t="n"/>
      <c r="F145" s="21" t="n"/>
      <c r="G145" s="21" t="n"/>
      <c r="H145" s="21" t="n"/>
      <c r="I145" s="22">
        <f>IF(A145="","",IF(H145&lt;&gt;"","Complete",IF(G145="","Open",IF(G145&lt;TODAY(),"Overdue",IF(G145-TODAY()&lt;=3,"Due Soon","Open")))))</f>
        <v/>
      </c>
      <c r="J145" s="23">
        <f>IF(OR(A145="",G145="",H145&lt;&gt;""),"",G145-TODAY())</f>
        <v/>
      </c>
      <c r="K145" s="23">
        <f>IF(OR(F145="",H145=""),"",H145-F145)</f>
        <v/>
      </c>
      <c r="L145" s="19" t="n"/>
      <c r="M145" s="20" t="n"/>
    </row>
    <row r="146">
      <c r="A146" s="19" t="n"/>
      <c r="B146" s="20" t="n"/>
      <c r="C146" s="20" t="n"/>
      <c r="D146" s="20" t="n"/>
      <c r="E146" s="20" t="n"/>
      <c r="F146" s="21" t="n"/>
      <c r="G146" s="21" t="n"/>
      <c r="H146" s="21" t="n"/>
      <c r="I146" s="22">
        <f>IF(A146="","",IF(H146&lt;&gt;"","Complete",IF(G146="","Open",IF(G146&lt;TODAY(),"Overdue",IF(G146-TODAY()&lt;=3,"Due Soon","Open")))))</f>
        <v/>
      </c>
      <c r="J146" s="23">
        <f>IF(OR(A146="",G146="",H146&lt;&gt;""),"",G146-TODAY())</f>
        <v/>
      </c>
      <c r="K146" s="23">
        <f>IF(OR(F146="",H146=""),"",H146-F146)</f>
        <v/>
      </c>
      <c r="L146" s="19" t="n"/>
      <c r="M146" s="20" t="n"/>
    </row>
    <row r="147">
      <c r="A147" s="19" t="n"/>
      <c r="B147" s="20" t="n"/>
      <c r="C147" s="20" t="n"/>
      <c r="D147" s="20" t="n"/>
      <c r="E147" s="20" t="n"/>
      <c r="F147" s="21" t="n"/>
      <c r="G147" s="21" t="n"/>
      <c r="H147" s="21" t="n"/>
      <c r="I147" s="22">
        <f>IF(A147="","",IF(H147&lt;&gt;"","Complete",IF(G147="","Open",IF(G147&lt;TODAY(),"Overdue",IF(G147-TODAY()&lt;=3,"Due Soon","Open")))))</f>
        <v/>
      </c>
      <c r="J147" s="23">
        <f>IF(OR(A147="",G147="",H147&lt;&gt;""),"",G147-TODAY())</f>
        <v/>
      </c>
      <c r="K147" s="23">
        <f>IF(OR(F147="",H147=""),"",H147-F147)</f>
        <v/>
      </c>
      <c r="L147" s="19" t="n"/>
      <c r="M147" s="20" t="n"/>
    </row>
    <row r="148">
      <c r="A148" s="19" t="n"/>
      <c r="B148" s="20" t="n"/>
      <c r="C148" s="20" t="n"/>
      <c r="D148" s="20" t="n"/>
      <c r="E148" s="20" t="n"/>
      <c r="F148" s="21" t="n"/>
      <c r="G148" s="21" t="n"/>
      <c r="H148" s="21" t="n"/>
      <c r="I148" s="22">
        <f>IF(A148="","",IF(H148&lt;&gt;"","Complete",IF(G148="","Open",IF(G148&lt;TODAY(),"Overdue",IF(G148-TODAY()&lt;=3,"Due Soon","Open")))))</f>
        <v/>
      </c>
      <c r="J148" s="23">
        <f>IF(OR(A148="",G148="",H148&lt;&gt;""),"",G148-TODAY())</f>
        <v/>
      </c>
      <c r="K148" s="23">
        <f>IF(OR(F148="",H148=""),"",H148-F148)</f>
        <v/>
      </c>
      <c r="L148" s="19" t="n"/>
      <c r="M148" s="20" t="n"/>
    </row>
    <row r="149">
      <c r="A149" s="19" t="n"/>
      <c r="B149" s="20" t="n"/>
      <c r="C149" s="20" t="n"/>
      <c r="D149" s="20" t="n"/>
      <c r="E149" s="20" t="n"/>
      <c r="F149" s="21" t="n"/>
      <c r="G149" s="21" t="n"/>
      <c r="H149" s="21" t="n"/>
      <c r="I149" s="22">
        <f>IF(A149="","",IF(H149&lt;&gt;"","Complete",IF(G149="","Open",IF(G149&lt;TODAY(),"Overdue",IF(G149-TODAY()&lt;=3,"Due Soon","Open")))))</f>
        <v/>
      </c>
      <c r="J149" s="23">
        <f>IF(OR(A149="",G149="",H149&lt;&gt;""),"",G149-TODAY())</f>
        <v/>
      </c>
      <c r="K149" s="23">
        <f>IF(OR(F149="",H149=""),"",H149-F149)</f>
        <v/>
      </c>
      <c r="L149" s="19" t="n"/>
      <c r="M149" s="20" t="n"/>
    </row>
    <row r="150">
      <c r="A150" s="19" t="n"/>
      <c r="B150" s="20" t="n"/>
      <c r="C150" s="20" t="n"/>
      <c r="D150" s="20" t="n"/>
      <c r="E150" s="20" t="n"/>
      <c r="F150" s="21" t="n"/>
      <c r="G150" s="21" t="n"/>
      <c r="H150" s="21" t="n"/>
      <c r="I150" s="22">
        <f>IF(A150="","",IF(H150&lt;&gt;"","Complete",IF(G150="","Open",IF(G150&lt;TODAY(),"Overdue",IF(G150-TODAY()&lt;=3,"Due Soon","Open")))))</f>
        <v/>
      </c>
      <c r="J150" s="23">
        <f>IF(OR(A150="",G150="",H150&lt;&gt;""),"",G150-TODAY())</f>
        <v/>
      </c>
      <c r="K150" s="23">
        <f>IF(OR(F150="",H150=""),"",H150-F150)</f>
        <v/>
      </c>
      <c r="L150" s="19" t="n"/>
      <c r="M150" s="20" t="n"/>
    </row>
    <row r="151">
      <c r="A151" s="19" t="n"/>
      <c r="B151" s="20" t="n"/>
      <c r="C151" s="20" t="n"/>
      <c r="D151" s="20" t="n"/>
      <c r="E151" s="20" t="n"/>
      <c r="F151" s="21" t="n"/>
      <c r="G151" s="21" t="n"/>
      <c r="H151" s="21" t="n"/>
      <c r="I151" s="22">
        <f>IF(A151="","",IF(H151&lt;&gt;"","Complete",IF(G151="","Open",IF(G151&lt;TODAY(),"Overdue",IF(G151-TODAY()&lt;=3,"Due Soon","Open")))))</f>
        <v/>
      </c>
      <c r="J151" s="23">
        <f>IF(OR(A151="",G151="",H151&lt;&gt;""),"",G151-TODAY())</f>
        <v/>
      </c>
      <c r="K151" s="23">
        <f>IF(OR(F151="",H151=""),"",H151-F151)</f>
        <v/>
      </c>
      <c r="L151" s="19" t="n"/>
      <c r="M151" s="20" t="n"/>
    </row>
    <row r="152">
      <c r="A152" s="19" t="n"/>
      <c r="B152" s="20" t="n"/>
      <c r="C152" s="20" t="n"/>
      <c r="D152" s="20" t="n"/>
      <c r="E152" s="20" t="n"/>
      <c r="F152" s="21" t="n"/>
      <c r="G152" s="21" t="n"/>
      <c r="H152" s="21" t="n"/>
      <c r="I152" s="22">
        <f>IF(A152="","",IF(H152&lt;&gt;"","Complete",IF(G152="","Open",IF(G152&lt;TODAY(),"Overdue",IF(G152-TODAY()&lt;=3,"Due Soon","Open")))))</f>
        <v/>
      </c>
      <c r="J152" s="23">
        <f>IF(OR(A152="",G152="",H152&lt;&gt;""),"",G152-TODAY())</f>
        <v/>
      </c>
      <c r="K152" s="23">
        <f>IF(OR(F152="",H152=""),"",H152-F152)</f>
        <v/>
      </c>
      <c r="L152" s="19" t="n"/>
      <c r="M152" s="20" t="n"/>
    </row>
    <row r="153">
      <c r="A153" s="19" t="n"/>
      <c r="B153" s="20" t="n"/>
      <c r="C153" s="20" t="n"/>
      <c r="D153" s="20" t="n"/>
      <c r="E153" s="20" t="n"/>
      <c r="F153" s="21" t="n"/>
      <c r="G153" s="21" t="n"/>
      <c r="H153" s="21" t="n"/>
      <c r="I153" s="22">
        <f>IF(A153="","",IF(H153&lt;&gt;"","Complete",IF(G153="","Open",IF(G153&lt;TODAY(),"Overdue",IF(G153-TODAY()&lt;=3,"Due Soon","Open")))))</f>
        <v/>
      </c>
      <c r="J153" s="23">
        <f>IF(OR(A153="",G153="",H153&lt;&gt;""),"",G153-TODAY())</f>
        <v/>
      </c>
      <c r="K153" s="23">
        <f>IF(OR(F153="",H153=""),"",H153-F153)</f>
        <v/>
      </c>
      <c r="L153" s="19" t="n"/>
      <c r="M153" s="20" t="n"/>
    </row>
    <row r="154">
      <c r="A154" s="19" t="n"/>
      <c r="B154" s="20" t="n"/>
      <c r="C154" s="20" t="n"/>
      <c r="D154" s="20" t="n"/>
      <c r="E154" s="20" t="n"/>
      <c r="F154" s="21" t="n"/>
      <c r="G154" s="21" t="n"/>
      <c r="H154" s="21" t="n"/>
      <c r="I154" s="22">
        <f>IF(A154="","",IF(H154&lt;&gt;"","Complete",IF(G154="","Open",IF(G154&lt;TODAY(),"Overdue",IF(G154-TODAY()&lt;=3,"Due Soon","Open")))))</f>
        <v/>
      </c>
      <c r="J154" s="23">
        <f>IF(OR(A154="",G154="",H154&lt;&gt;""),"",G154-TODAY())</f>
        <v/>
      </c>
      <c r="K154" s="23">
        <f>IF(OR(F154="",H154=""),"",H154-F154)</f>
        <v/>
      </c>
      <c r="L154" s="19" t="n"/>
      <c r="M154" s="20" t="n"/>
    </row>
    <row r="155">
      <c r="A155" s="19" t="n"/>
      <c r="B155" s="20" t="n"/>
      <c r="C155" s="20" t="n"/>
      <c r="D155" s="20" t="n"/>
      <c r="E155" s="20" t="n"/>
      <c r="F155" s="21" t="n"/>
      <c r="G155" s="21" t="n"/>
      <c r="H155" s="21" t="n"/>
      <c r="I155" s="22">
        <f>IF(A155="","",IF(H155&lt;&gt;"","Complete",IF(G155="","Open",IF(G155&lt;TODAY(),"Overdue",IF(G155-TODAY()&lt;=3,"Due Soon","Open")))))</f>
        <v/>
      </c>
      <c r="J155" s="23">
        <f>IF(OR(A155="",G155="",H155&lt;&gt;""),"",G155-TODAY())</f>
        <v/>
      </c>
      <c r="K155" s="23">
        <f>IF(OR(F155="",H155=""),"",H155-F155)</f>
        <v/>
      </c>
      <c r="L155" s="19" t="n"/>
      <c r="M155" s="20" t="n"/>
    </row>
    <row r="156">
      <c r="A156" s="19" t="n"/>
      <c r="B156" s="20" t="n"/>
      <c r="C156" s="20" t="n"/>
      <c r="D156" s="20" t="n"/>
      <c r="E156" s="20" t="n"/>
      <c r="F156" s="21" t="n"/>
      <c r="G156" s="21" t="n"/>
      <c r="H156" s="21" t="n"/>
      <c r="I156" s="22">
        <f>IF(A156="","",IF(H156&lt;&gt;"","Complete",IF(G156="","Open",IF(G156&lt;TODAY(),"Overdue",IF(G156-TODAY()&lt;=3,"Due Soon","Open")))))</f>
        <v/>
      </c>
      <c r="J156" s="23">
        <f>IF(OR(A156="",G156="",H156&lt;&gt;""),"",G156-TODAY())</f>
        <v/>
      </c>
      <c r="K156" s="23">
        <f>IF(OR(F156="",H156=""),"",H156-F156)</f>
        <v/>
      </c>
      <c r="L156" s="19" t="n"/>
      <c r="M156" s="20" t="n"/>
    </row>
    <row r="157">
      <c r="A157" s="19" t="n"/>
      <c r="B157" s="20" t="n"/>
      <c r="C157" s="20" t="n"/>
      <c r="D157" s="20" t="n"/>
      <c r="E157" s="20" t="n"/>
      <c r="F157" s="21" t="n"/>
      <c r="G157" s="21" t="n"/>
      <c r="H157" s="21" t="n"/>
      <c r="I157" s="22">
        <f>IF(A157="","",IF(H157&lt;&gt;"","Complete",IF(G157="","Open",IF(G157&lt;TODAY(),"Overdue",IF(G157-TODAY()&lt;=3,"Due Soon","Open")))))</f>
        <v/>
      </c>
      <c r="J157" s="23">
        <f>IF(OR(A157="",G157="",H157&lt;&gt;""),"",G157-TODAY())</f>
        <v/>
      </c>
      <c r="K157" s="23">
        <f>IF(OR(F157="",H157=""),"",H157-F157)</f>
        <v/>
      </c>
      <c r="L157" s="19" t="n"/>
      <c r="M157" s="20" t="n"/>
    </row>
    <row r="158">
      <c r="A158" s="19" t="n"/>
      <c r="B158" s="20" t="n"/>
      <c r="C158" s="20" t="n"/>
      <c r="D158" s="20" t="n"/>
      <c r="E158" s="20" t="n"/>
      <c r="F158" s="21" t="n"/>
      <c r="G158" s="21" t="n"/>
      <c r="H158" s="21" t="n"/>
      <c r="I158" s="22">
        <f>IF(A158="","",IF(H158&lt;&gt;"","Complete",IF(G158="","Open",IF(G158&lt;TODAY(),"Overdue",IF(G158-TODAY()&lt;=3,"Due Soon","Open")))))</f>
        <v/>
      </c>
      <c r="J158" s="23">
        <f>IF(OR(A158="",G158="",H158&lt;&gt;""),"",G158-TODAY())</f>
        <v/>
      </c>
      <c r="K158" s="23">
        <f>IF(OR(F158="",H158=""),"",H158-F158)</f>
        <v/>
      </c>
      <c r="L158" s="19" t="n"/>
      <c r="M158" s="20" t="n"/>
    </row>
    <row r="159">
      <c r="A159" s="19" t="n"/>
      <c r="B159" s="20" t="n"/>
      <c r="C159" s="20" t="n"/>
      <c r="D159" s="20" t="n"/>
      <c r="E159" s="20" t="n"/>
      <c r="F159" s="21" t="n"/>
      <c r="G159" s="21" t="n"/>
      <c r="H159" s="21" t="n"/>
      <c r="I159" s="22">
        <f>IF(A159="","",IF(H159&lt;&gt;"","Complete",IF(G159="","Open",IF(G159&lt;TODAY(),"Overdue",IF(G159-TODAY()&lt;=3,"Due Soon","Open")))))</f>
        <v/>
      </c>
      <c r="J159" s="23">
        <f>IF(OR(A159="",G159="",H159&lt;&gt;""),"",G159-TODAY())</f>
        <v/>
      </c>
      <c r="K159" s="23">
        <f>IF(OR(F159="",H159=""),"",H159-F159)</f>
        <v/>
      </c>
      <c r="L159" s="19" t="n"/>
      <c r="M159" s="20" t="n"/>
    </row>
    <row r="160">
      <c r="A160" s="19" t="n"/>
      <c r="B160" s="20" t="n"/>
      <c r="C160" s="20" t="n"/>
      <c r="D160" s="20" t="n"/>
      <c r="E160" s="20" t="n"/>
      <c r="F160" s="21" t="n"/>
      <c r="G160" s="21" t="n"/>
      <c r="H160" s="21" t="n"/>
      <c r="I160" s="22">
        <f>IF(A160="","",IF(H160&lt;&gt;"","Complete",IF(G160="","Open",IF(G160&lt;TODAY(),"Overdue",IF(G160-TODAY()&lt;=3,"Due Soon","Open")))))</f>
        <v/>
      </c>
      <c r="J160" s="23">
        <f>IF(OR(A160="",G160="",H160&lt;&gt;""),"",G160-TODAY())</f>
        <v/>
      </c>
      <c r="K160" s="23">
        <f>IF(OR(F160="",H160=""),"",H160-F160)</f>
        <v/>
      </c>
      <c r="L160" s="19" t="n"/>
      <c r="M160" s="20" t="n"/>
    </row>
    <row r="161">
      <c r="A161" s="19" t="n"/>
      <c r="B161" s="20" t="n"/>
      <c r="C161" s="20" t="n"/>
      <c r="D161" s="20" t="n"/>
      <c r="E161" s="20" t="n"/>
      <c r="F161" s="21" t="n"/>
      <c r="G161" s="21" t="n"/>
      <c r="H161" s="21" t="n"/>
      <c r="I161" s="22">
        <f>IF(A161="","",IF(H161&lt;&gt;"","Complete",IF(G161="","Open",IF(G161&lt;TODAY(),"Overdue",IF(G161-TODAY()&lt;=3,"Due Soon","Open")))))</f>
        <v/>
      </c>
      <c r="J161" s="23">
        <f>IF(OR(A161="",G161="",H161&lt;&gt;""),"",G161-TODAY())</f>
        <v/>
      </c>
      <c r="K161" s="23">
        <f>IF(OR(F161="",H161=""),"",H161-F161)</f>
        <v/>
      </c>
      <c r="L161" s="19" t="n"/>
      <c r="M161" s="20" t="n"/>
    </row>
    <row r="162">
      <c r="A162" s="19" t="n"/>
      <c r="B162" s="20" t="n"/>
      <c r="C162" s="20" t="n"/>
      <c r="D162" s="20" t="n"/>
      <c r="E162" s="20" t="n"/>
      <c r="F162" s="21" t="n"/>
      <c r="G162" s="21" t="n"/>
      <c r="H162" s="21" t="n"/>
      <c r="I162" s="22">
        <f>IF(A162="","",IF(H162&lt;&gt;"","Complete",IF(G162="","Open",IF(G162&lt;TODAY(),"Overdue",IF(G162-TODAY()&lt;=3,"Due Soon","Open")))))</f>
        <v/>
      </c>
      <c r="J162" s="23">
        <f>IF(OR(A162="",G162="",H162&lt;&gt;""),"",G162-TODAY())</f>
        <v/>
      </c>
      <c r="K162" s="23">
        <f>IF(OR(F162="",H162=""),"",H162-F162)</f>
        <v/>
      </c>
      <c r="L162" s="19" t="n"/>
      <c r="M162" s="20" t="n"/>
    </row>
    <row r="163">
      <c r="A163" s="19" t="n"/>
      <c r="B163" s="20" t="n"/>
      <c r="C163" s="20" t="n"/>
      <c r="D163" s="20" t="n"/>
      <c r="E163" s="20" t="n"/>
      <c r="F163" s="21" t="n"/>
      <c r="G163" s="21" t="n"/>
      <c r="H163" s="21" t="n"/>
      <c r="I163" s="22">
        <f>IF(A163="","",IF(H163&lt;&gt;"","Complete",IF(G163="","Open",IF(G163&lt;TODAY(),"Overdue",IF(G163-TODAY()&lt;=3,"Due Soon","Open")))))</f>
        <v/>
      </c>
      <c r="J163" s="23">
        <f>IF(OR(A163="",G163="",H163&lt;&gt;""),"",G163-TODAY())</f>
        <v/>
      </c>
      <c r="K163" s="23">
        <f>IF(OR(F163="",H163=""),"",H163-F163)</f>
        <v/>
      </c>
      <c r="L163" s="19" t="n"/>
      <c r="M163" s="20" t="n"/>
    </row>
    <row r="164">
      <c r="A164" s="19" t="n"/>
      <c r="B164" s="20" t="n"/>
      <c r="C164" s="20" t="n"/>
      <c r="D164" s="20" t="n"/>
      <c r="E164" s="20" t="n"/>
      <c r="F164" s="21" t="n"/>
      <c r="G164" s="21" t="n"/>
      <c r="H164" s="21" t="n"/>
      <c r="I164" s="22">
        <f>IF(A164="","",IF(H164&lt;&gt;"","Complete",IF(G164="","Open",IF(G164&lt;TODAY(),"Overdue",IF(G164-TODAY()&lt;=3,"Due Soon","Open")))))</f>
        <v/>
      </c>
      <c r="J164" s="23">
        <f>IF(OR(A164="",G164="",H164&lt;&gt;""),"",G164-TODAY())</f>
        <v/>
      </c>
      <c r="K164" s="23">
        <f>IF(OR(F164="",H164=""),"",H164-F164)</f>
        <v/>
      </c>
      <c r="L164" s="19" t="n"/>
      <c r="M164" s="20" t="n"/>
    </row>
    <row r="165">
      <c r="A165" s="19" t="n"/>
      <c r="B165" s="20" t="n"/>
      <c r="C165" s="20" t="n"/>
      <c r="D165" s="20" t="n"/>
      <c r="E165" s="20" t="n"/>
      <c r="F165" s="21" t="n"/>
      <c r="G165" s="21" t="n"/>
      <c r="H165" s="21" t="n"/>
      <c r="I165" s="22">
        <f>IF(A165="","",IF(H165&lt;&gt;"","Complete",IF(G165="","Open",IF(G165&lt;TODAY(),"Overdue",IF(G165-TODAY()&lt;=3,"Due Soon","Open")))))</f>
        <v/>
      </c>
      <c r="J165" s="23">
        <f>IF(OR(A165="",G165="",H165&lt;&gt;""),"",G165-TODAY())</f>
        <v/>
      </c>
      <c r="K165" s="23">
        <f>IF(OR(F165="",H165=""),"",H165-F165)</f>
        <v/>
      </c>
      <c r="L165" s="19" t="n"/>
      <c r="M165" s="20" t="n"/>
    </row>
    <row r="166">
      <c r="A166" s="19" t="n"/>
      <c r="B166" s="20" t="n"/>
      <c r="C166" s="20" t="n"/>
      <c r="D166" s="20" t="n"/>
      <c r="E166" s="20" t="n"/>
      <c r="F166" s="21" t="n"/>
      <c r="G166" s="21" t="n"/>
      <c r="H166" s="21" t="n"/>
      <c r="I166" s="22">
        <f>IF(A166="","",IF(H166&lt;&gt;"","Complete",IF(G166="","Open",IF(G166&lt;TODAY(),"Overdue",IF(G166-TODAY()&lt;=3,"Due Soon","Open")))))</f>
        <v/>
      </c>
      <c r="J166" s="23">
        <f>IF(OR(A166="",G166="",H166&lt;&gt;""),"",G166-TODAY())</f>
        <v/>
      </c>
      <c r="K166" s="23">
        <f>IF(OR(F166="",H166=""),"",H166-F166)</f>
        <v/>
      </c>
      <c r="L166" s="19" t="n"/>
      <c r="M166" s="20" t="n"/>
    </row>
    <row r="167">
      <c r="A167" s="19" t="n"/>
      <c r="B167" s="20" t="n"/>
      <c r="C167" s="20" t="n"/>
      <c r="D167" s="20" t="n"/>
      <c r="E167" s="20" t="n"/>
      <c r="F167" s="21" t="n"/>
      <c r="G167" s="21" t="n"/>
      <c r="H167" s="21" t="n"/>
      <c r="I167" s="22">
        <f>IF(A167="","",IF(H167&lt;&gt;"","Complete",IF(G167="","Open",IF(G167&lt;TODAY(),"Overdue",IF(G167-TODAY()&lt;=3,"Due Soon","Open")))))</f>
        <v/>
      </c>
      <c r="J167" s="23">
        <f>IF(OR(A167="",G167="",H167&lt;&gt;""),"",G167-TODAY())</f>
        <v/>
      </c>
      <c r="K167" s="23">
        <f>IF(OR(F167="",H167=""),"",H167-F167)</f>
        <v/>
      </c>
      <c r="L167" s="19" t="n"/>
      <c r="M167" s="20" t="n"/>
    </row>
    <row r="168">
      <c r="A168" s="19" t="n"/>
      <c r="B168" s="20" t="n"/>
      <c r="C168" s="20" t="n"/>
      <c r="D168" s="20" t="n"/>
      <c r="E168" s="20" t="n"/>
      <c r="F168" s="21" t="n"/>
      <c r="G168" s="21" t="n"/>
      <c r="H168" s="21" t="n"/>
      <c r="I168" s="22">
        <f>IF(A168="","",IF(H168&lt;&gt;"","Complete",IF(G168="","Open",IF(G168&lt;TODAY(),"Overdue",IF(G168-TODAY()&lt;=3,"Due Soon","Open")))))</f>
        <v/>
      </c>
      <c r="J168" s="23">
        <f>IF(OR(A168="",G168="",H168&lt;&gt;""),"",G168-TODAY())</f>
        <v/>
      </c>
      <c r="K168" s="23">
        <f>IF(OR(F168="",H168=""),"",H168-F168)</f>
        <v/>
      </c>
      <c r="L168" s="19" t="n"/>
      <c r="M168" s="20" t="n"/>
    </row>
    <row r="169">
      <c r="A169" s="19" t="n"/>
      <c r="B169" s="20" t="n"/>
      <c r="C169" s="20" t="n"/>
      <c r="D169" s="20" t="n"/>
      <c r="E169" s="20" t="n"/>
      <c r="F169" s="21" t="n"/>
      <c r="G169" s="21" t="n"/>
      <c r="H169" s="21" t="n"/>
      <c r="I169" s="22">
        <f>IF(A169="","",IF(H169&lt;&gt;"","Complete",IF(G169="","Open",IF(G169&lt;TODAY(),"Overdue",IF(G169-TODAY()&lt;=3,"Due Soon","Open")))))</f>
        <v/>
      </c>
      <c r="J169" s="23">
        <f>IF(OR(A169="",G169="",H169&lt;&gt;""),"",G169-TODAY())</f>
        <v/>
      </c>
      <c r="K169" s="23">
        <f>IF(OR(F169="",H169=""),"",H169-F169)</f>
        <v/>
      </c>
      <c r="L169" s="19" t="n"/>
      <c r="M169" s="20" t="n"/>
    </row>
    <row r="170">
      <c r="A170" s="19" t="n"/>
      <c r="B170" s="20" t="n"/>
      <c r="C170" s="20" t="n"/>
      <c r="D170" s="20" t="n"/>
      <c r="E170" s="20" t="n"/>
      <c r="F170" s="21" t="n"/>
      <c r="G170" s="21" t="n"/>
      <c r="H170" s="21" t="n"/>
      <c r="I170" s="22">
        <f>IF(A170="","",IF(H170&lt;&gt;"","Complete",IF(G170="","Open",IF(G170&lt;TODAY(),"Overdue",IF(G170-TODAY()&lt;=3,"Due Soon","Open")))))</f>
        <v/>
      </c>
      <c r="J170" s="23">
        <f>IF(OR(A170="",G170="",H170&lt;&gt;""),"",G170-TODAY())</f>
        <v/>
      </c>
      <c r="K170" s="23">
        <f>IF(OR(F170="",H170=""),"",H170-F170)</f>
        <v/>
      </c>
      <c r="L170" s="19" t="n"/>
      <c r="M170" s="20" t="n"/>
    </row>
    <row r="171">
      <c r="A171" s="19" t="n"/>
      <c r="B171" s="20" t="n"/>
      <c r="C171" s="20" t="n"/>
      <c r="D171" s="20" t="n"/>
      <c r="E171" s="20" t="n"/>
      <c r="F171" s="21" t="n"/>
      <c r="G171" s="21" t="n"/>
      <c r="H171" s="21" t="n"/>
      <c r="I171" s="22">
        <f>IF(A171="","",IF(H171&lt;&gt;"","Complete",IF(G171="","Open",IF(G171&lt;TODAY(),"Overdue",IF(G171-TODAY()&lt;=3,"Due Soon","Open")))))</f>
        <v/>
      </c>
      <c r="J171" s="23">
        <f>IF(OR(A171="",G171="",H171&lt;&gt;""),"",G171-TODAY())</f>
        <v/>
      </c>
      <c r="K171" s="23">
        <f>IF(OR(F171="",H171=""),"",H171-F171)</f>
        <v/>
      </c>
      <c r="L171" s="19" t="n"/>
      <c r="M171" s="20" t="n"/>
    </row>
    <row r="172">
      <c r="A172" s="19" t="n"/>
      <c r="B172" s="20" t="n"/>
      <c r="C172" s="20" t="n"/>
      <c r="D172" s="20" t="n"/>
      <c r="E172" s="20" t="n"/>
      <c r="F172" s="21" t="n"/>
      <c r="G172" s="21" t="n"/>
      <c r="H172" s="21" t="n"/>
      <c r="I172" s="22">
        <f>IF(A172="","",IF(H172&lt;&gt;"","Complete",IF(G172="","Open",IF(G172&lt;TODAY(),"Overdue",IF(G172-TODAY()&lt;=3,"Due Soon","Open")))))</f>
        <v/>
      </c>
      <c r="J172" s="23">
        <f>IF(OR(A172="",G172="",H172&lt;&gt;""),"",G172-TODAY())</f>
        <v/>
      </c>
      <c r="K172" s="23">
        <f>IF(OR(F172="",H172=""),"",H172-F172)</f>
        <v/>
      </c>
      <c r="L172" s="19" t="n"/>
      <c r="M172" s="20" t="n"/>
    </row>
    <row r="173">
      <c r="A173" s="19" t="n"/>
      <c r="B173" s="20" t="n"/>
      <c r="C173" s="20" t="n"/>
      <c r="D173" s="20" t="n"/>
      <c r="E173" s="20" t="n"/>
      <c r="F173" s="21" t="n"/>
      <c r="G173" s="21" t="n"/>
      <c r="H173" s="21" t="n"/>
      <c r="I173" s="22">
        <f>IF(A173="","",IF(H173&lt;&gt;"","Complete",IF(G173="","Open",IF(G173&lt;TODAY(),"Overdue",IF(G173-TODAY()&lt;=3,"Due Soon","Open")))))</f>
        <v/>
      </c>
      <c r="J173" s="23">
        <f>IF(OR(A173="",G173="",H173&lt;&gt;""),"",G173-TODAY())</f>
        <v/>
      </c>
      <c r="K173" s="23">
        <f>IF(OR(F173="",H173=""),"",H173-F173)</f>
        <v/>
      </c>
      <c r="L173" s="19" t="n"/>
      <c r="M173" s="20" t="n"/>
    </row>
    <row r="174">
      <c r="A174" s="19" t="n"/>
      <c r="B174" s="20" t="n"/>
      <c r="C174" s="20" t="n"/>
      <c r="D174" s="20" t="n"/>
      <c r="E174" s="20" t="n"/>
      <c r="F174" s="21" t="n"/>
      <c r="G174" s="21" t="n"/>
      <c r="H174" s="21" t="n"/>
      <c r="I174" s="22">
        <f>IF(A174="","",IF(H174&lt;&gt;"","Complete",IF(G174="","Open",IF(G174&lt;TODAY(),"Overdue",IF(G174-TODAY()&lt;=3,"Due Soon","Open")))))</f>
        <v/>
      </c>
      <c r="J174" s="23">
        <f>IF(OR(A174="",G174="",H174&lt;&gt;""),"",G174-TODAY())</f>
        <v/>
      </c>
      <c r="K174" s="23">
        <f>IF(OR(F174="",H174=""),"",H174-F174)</f>
        <v/>
      </c>
      <c r="L174" s="19" t="n"/>
      <c r="M174" s="20" t="n"/>
    </row>
    <row r="175">
      <c r="A175" s="19" t="n"/>
      <c r="B175" s="20" t="n"/>
      <c r="C175" s="20" t="n"/>
      <c r="D175" s="20" t="n"/>
      <c r="E175" s="20" t="n"/>
      <c r="F175" s="21" t="n"/>
      <c r="G175" s="21" t="n"/>
      <c r="H175" s="21" t="n"/>
      <c r="I175" s="22">
        <f>IF(A175="","",IF(H175&lt;&gt;"","Complete",IF(G175="","Open",IF(G175&lt;TODAY(),"Overdue",IF(G175-TODAY()&lt;=3,"Due Soon","Open")))))</f>
        <v/>
      </c>
      <c r="J175" s="23">
        <f>IF(OR(A175="",G175="",H175&lt;&gt;""),"",G175-TODAY())</f>
        <v/>
      </c>
      <c r="K175" s="23">
        <f>IF(OR(F175="",H175=""),"",H175-F175)</f>
        <v/>
      </c>
      <c r="L175" s="19" t="n"/>
      <c r="M175" s="20" t="n"/>
    </row>
    <row r="176">
      <c r="A176" s="19" t="n"/>
      <c r="B176" s="20" t="n"/>
      <c r="C176" s="20" t="n"/>
      <c r="D176" s="20" t="n"/>
      <c r="E176" s="20" t="n"/>
      <c r="F176" s="21" t="n"/>
      <c r="G176" s="21" t="n"/>
      <c r="H176" s="21" t="n"/>
      <c r="I176" s="22">
        <f>IF(A176="","",IF(H176&lt;&gt;"","Complete",IF(G176="","Open",IF(G176&lt;TODAY(),"Overdue",IF(G176-TODAY()&lt;=3,"Due Soon","Open")))))</f>
        <v/>
      </c>
      <c r="J176" s="23">
        <f>IF(OR(A176="",G176="",H176&lt;&gt;""),"",G176-TODAY())</f>
        <v/>
      </c>
      <c r="K176" s="23">
        <f>IF(OR(F176="",H176=""),"",H176-F176)</f>
        <v/>
      </c>
      <c r="L176" s="19" t="n"/>
      <c r="M176" s="20" t="n"/>
    </row>
    <row r="177">
      <c r="A177" s="19" t="n"/>
      <c r="B177" s="20" t="n"/>
      <c r="C177" s="20" t="n"/>
      <c r="D177" s="20" t="n"/>
      <c r="E177" s="20" t="n"/>
      <c r="F177" s="21" t="n"/>
      <c r="G177" s="21" t="n"/>
      <c r="H177" s="21" t="n"/>
      <c r="I177" s="22">
        <f>IF(A177="","",IF(H177&lt;&gt;"","Complete",IF(G177="","Open",IF(G177&lt;TODAY(),"Overdue",IF(G177-TODAY()&lt;=3,"Due Soon","Open")))))</f>
        <v/>
      </c>
      <c r="J177" s="23">
        <f>IF(OR(A177="",G177="",H177&lt;&gt;""),"",G177-TODAY())</f>
        <v/>
      </c>
      <c r="K177" s="23">
        <f>IF(OR(F177="",H177=""),"",H177-F177)</f>
        <v/>
      </c>
      <c r="L177" s="19" t="n"/>
      <c r="M177" s="20" t="n"/>
    </row>
    <row r="178">
      <c r="A178" s="19" t="n"/>
      <c r="B178" s="20" t="n"/>
      <c r="C178" s="20" t="n"/>
      <c r="D178" s="20" t="n"/>
      <c r="E178" s="20" t="n"/>
      <c r="F178" s="21" t="n"/>
      <c r="G178" s="21" t="n"/>
      <c r="H178" s="21" t="n"/>
      <c r="I178" s="22">
        <f>IF(A178="","",IF(H178&lt;&gt;"","Complete",IF(G178="","Open",IF(G178&lt;TODAY(),"Overdue",IF(G178-TODAY()&lt;=3,"Due Soon","Open")))))</f>
        <v/>
      </c>
      <c r="J178" s="23">
        <f>IF(OR(A178="",G178="",H178&lt;&gt;""),"",G178-TODAY())</f>
        <v/>
      </c>
      <c r="K178" s="23">
        <f>IF(OR(F178="",H178=""),"",H178-F178)</f>
        <v/>
      </c>
      <c r="L178" s="19" t="n"/>
      <c r="M178" s="20" t="n"/>
    </row>
    <row r="179">
      <c r="A179" s="19" t="n"/>
      <c r="B179" s="20" t="n"/>
      <c r="C179" s="20" t="n"/>
      <c r="D179" s="20" t="n"/>
      <c r="E179" s="20" t="n"/>
      <c r="F179" s="21" t="n"/>
      <c r="G179" s="21" t="n"/>
      <c r="H179" s="21" t="n"/>
      <c r="I179" s="22">
        <f>IF(A179="","",IF(H179&lt;&gt;"","Complete",IF(G179="","Open",IF(G179&lt;TODAY(),"Overdue",IF(G179-TODAY()&lt;=3,"Due Soon","Open")))))</f>
        <v/>
      </c>
      <c r="J179" s="23">
        <f>IF(OR(A179="",G179="",H179&lt;&gt;""),"",G179-TODAY())</f>
        <v/>
      </c>
      <c r="K179" s="23">
        <f>IF(OR(F179="",H179=""),"",H179-F179)</f>
        <v/>
      </c>
      <c r="L179" s="19" t="n"/>
      <c r="M179" s="20" t="n"/>
    </row>
    <row r="180">
      <c r="A180" s="19" t="n"/>
      <c r="B180" s="20" t="n"/>
      <c r="C180" s="20" t="n"/>
      <c r="D180" s="20" t="n"/>
      <c r="E180" s="20" t="n"/>
      <c r="F180" s="21" t="n"/>
      <c r="G180" s="21" t="n"/>
      <c r="H180" s="21" t="n"/>
      <c r="I180" s="22">
        <f>IF(A180="","",IF(H180&lt;&gt;"","Complete",IF(G180="","Open",IF(G180&lt;TODAY(),"Overdue",IF(G180-TODAY()&lt;=3,"Due Soon","Open")))))</f>
        <v/>
      </c>
      <c r="J180" s="23">
        <f>IF(OR(A180="",G180="",H180&lt;&gt;""),"",G180-TODAY())</f>
        <v/>
      </c>
      <c r="K180" s="23">
        <f>IF(OR(F180="",H180=""),"",H180-F180)</f>
        <v/>
      </c>
      <c r="L180" s="19" t="n"/>
      <c r="M180" s="20" t="n"/>
    </row>
    <row r="181">
      <c r="A181" s="19" t="n"/>
      <c r="B181" s="20" t="n"/>
      <c r="C181" s="20" t="n"/>
      <c r="D181" s="20" t="n"/>
      <c r="E181" s="20" t="n"/>
      <c r="F181" s="21" t="n"/>
      <c r="G181" s="21" t="n"/>
      <c r="H181" s="21" t="n"/>
      <c r="I181" s="22">
        <f>IF(A181="","",IF(H181&lt;&gt;"","Complete",IF(G181="","Open",IF(G181&lt;TODAY(),"Overdue",IF(G181-TODAY()&lt;=3,"Due Soon","Open")))))</f>
        <v/>
      </c>
      <c r="J181" s="23">
        <f>IF(OR(A181="",G181="",H181&lt;&gt;""),"",G181-TODAY())</f>
        <v/>
      </c>
      <c r="K181" s="23">
        <f>IF(OR(F181="",H181=""),"",H181-F181)</f>
        <v/>
      </c>
      <c r="L181" s="19" t="n"/>
      <c r="M181" s="20" t="n"/>
    </row>
    <row r="182">
      <c r="A182" s="19" t="n"/>
      <c r="B182" s="20" t="n"/>
      <c r="C182" s="20" t="n"/>
      <c r="D182" s="20" t="n"/>
      <c r="E182" s="20" t="n"/>
      <c r="F182" s="21" t="n"/>
      <c r="G182" s="21" t="n"/>
      <c r="H182" s="21" t="n"/>
      <c r="I182" s="22">
        <f>IF(A182="","",IF(H182&lt;&gt;"","Complete",IF(G182="","Open",IF(G182&lt;TODAY(),"Overdue",IF(G182-TODAY()&lt;=3,"Due Soon","Open")))))</f>
        <v/>
      </c>
      <c r="J182" s="23">
        <f>IF(OR(A182="",G182="",H182&lt;&gt;""),"",G182-TODAY())</f>
        <v/>
      </c>
      <c r="K182" s="23">
        <f>IF(OR(F182="",H182=""),"",H182-F182)</f>
        <v/>
      </c>
      <c r="L182" s="19" t="n"/>
      <c r="M182" s="20" t="n"/>
    </row>
    <row r="183">
      <c r="A183" s="19" t="n"/>
      <c r="B183" s="20" t="n"/>
      <c r="C183" s="20" t="n"/>
      <c r="D183" s="20" t="n"/>
      <c r="E183" s="20" t="n"/>
      <c r="F183" s="21" t="n"/>
      <c r="G183" s="21" t="n"/>
      <c r="H183" s="21" t="n"/>
      <c r="I183" s="22">
        <f>IF(A183="","",IF(H183&lt;&gt;"","Complete",IF(G183="","Open",IF(G183&lt;TODAY(),"Overdue",IF(G183-TODAY()&lt;=3,"Due Soon","Open")))))</f>
        <v/>
      </c>
      <c r="J183" s="23">
        <f>IF(OR(A183="",G183="",H183&lt;&gt;""),"",G183-TODAY())</f>
        <v/>
      </c>
      <c r="K183" s="23">
        <f>IF(OR(F183="",H183=""),"",H183-F183)</f>
        <v/>
      </c>
      <c r="L183" s="19" t="n"/>
      <c r="M183" s="20" t="n"/>
    </row>
    <row r="184">
      <c r="A184" s="19" t="n"/>
      <c r="B184" s="20" t="n"/>
      <c r="C184" s="20" t="n"/>
      <c r="D184" s="20" t="n"/>
      <c r="E184" s="20" t="n"/>
      <c r="F184" s="21" t="n"/>
      <c r="G184" s="21" t="n"/>
      <c r="H184" s="21" t="n"/>
      <c r="I184" s="22">
        <f>IF(A184="","",IF(H184&lt;&gt;"","Complete",IF(G184="","Open",IF(G184&lt;TODAY(),"Overdue",IF(G184-TODAY()&lt;=3,"Due Soon","Open")))))</f>
        <v/>
      </c>
      <c r="J184" s="23">
        <f>IF(OR(A184="",G184="",H184&lt;&gt;""),"",G184-TODAY())</f>
        <v/>
      </c>
      <c r="K184" s="23">
        <f>IF(OR(F184="",H184=""),"",H184-F184)</f>
        <v/>
      </c>
      <c r="L184" s="19" t="n"/>
      <c r="M184" s="20" t="n"/>
    </row>
    <row r="185">
      <c r="A185" s="19" t="n"/>
      <c r="B185" s="20" t="n"/>
      <c r="C185" s="20" t="n"/>
      <c r="D185" s="20" t="n"/>
      <c r="E185" s="20" t="n"/>
      <c r="F185" s="21" t="n"/>
      <c r="G185" s="21" t="n"/>
      <c r="H185" s="21" t="n"/>
      <c r="I185" s="22">
        <f>IF(A185="","",IF(H185&lt;&gt;"","Complete",IF(G185="","Open",IF(G185&lt;TODAY(),"Overdue",IF(G185-TODAY()&lt;=3,"Due Soon","Open")))))</f>
        <v/>
      </c>
      <c r="J185" s="23">
        <f>IF(OR(A185="",G185="",H185&lt;&gt;""),"",G185-TODAY())</f>
        <v/>
      </c>
      <c r="K185" s="23">
        <f>IF(OR(F185="",H185=""),"",H185-F185)</f>
        <v/>
      </c>
      <c r="L185" s="19" t="n"/>
      <c r="M185" s="20" t="n"/>
    </row>
    <row r="186">
      <c r="A186" s="19" t="n"/>
      <c r="B186" s="20" t="n"/>
      <c r="C186" s="20" t="n"/>
      <c r="D186" s="20" t="n"/>
      <c r="E186" s="20" t="n"/>
      <c r="F186" s="21" t="n"/>
      <c r="G186" s="21" t="n"/>
      <c r="H186" s="21" t="n"/>
      <c r="I186" s="22">
        <f>IF(A186="","",IF(H186&lt;&gt;"","Complete",IF(G186="","Open",IF(G186&lt;TODAY(),"Overdue",IF(G186-TODAY()&lt;=3,"Due Soon","Open")))))</f>
        <v/>
      </c>
      <c r="J186" s="23">
        <f>IF(OR(A186="",G186="",H186&lt;&gt;""),"",G186-TODAY())</f>
        <v/>
      </c>
      <c r="K186" s="23">
        <f>IF(OR(F186="",H186=""),"",H186-F186)</f>
        <v/>
      </c>
      <c r="L186" s="19" t="n"/>
      <c r="M186" s="20" t="n"/>
    </row>
    <row r="187">
      <c r="A187" s="19" t="n"/>
      <c r="B187" s="20" t="n"/>
      <c r="C187" s="20" t="n"/>
      <c r="D187" s="20" t="n"/>
      <c r="E187" s="20" t="n"/>
      <c r="F187" s="21" t="n"/>
      <c r="G187" s="21" t="n"/>
      <c r="H187" s="21" t="n"/>
      <c r="I187" s="22">
        <f>IF(A187="","",IF(H187&lt;&gt;"","Complete",IF(G187="","Open",IF(G187&lt;TODAY(),"Overdue",IF(G187-TODAY()&lt;=3,"Due Soon","Open")))))</f>
        <v/>
      </c>
      <c r="J187" s="23">
        <f>IF(OR(A187="",G187="",H187&lt;&gt;""),"",G187-TODAY())</f>
        <v/>
      </c>
      <c r="K187" s="23">
        <f>IF(OR(F187="",H187=""),"",H187-F187)</f>
        <v/>
      </c>
      <c r="L187" s="19" t="n"/>
      <c r="M187" s="20" t="n"/>
    </row>
    <row r="188">
      <c r="A188" s="19" t="n"/>
      <c r="B188" s="20" t="n"/>
      <c r="C188" s="20" t="n"/>
      <c r="D188" s="20" t="n"/>
      <c r="E188" s="20" t="n"/>
      <c r="F188" s="21" t="n"/>
      <c r="G188" s="21" t="n"/>
      <c r="H188" s="21" t="n"/>
      <c r="I188" s="22">
        <f>IF(A188="","",IF(H188&lt;&gt;"","Complete",IF(G188="","Open",IF(G188&lt;TODAY(),"Overdue",IF(G188-TODAY()&lt;=3,"Due Soon","Open")))))</f>
        <v/>
      </c>
      <c r="J188" s="23">
        <f>IF(OR(A188="",G188="",H188&lt;&gt;""),"",G188-TODAY())</f>
        <v/>
      </c>
      <c r="K188" s="23">
        <f>IF(OR(F188="",H188=""),"",H188-F188)</f>
        <v/>
      </c>
      <c r="L188" s="19" t="n"/>
      <c r="M188" s="20" t="n"/>
    </row>
    <row r="189">
      <c r="A189" s="19" t="n"/>
      <c r="B189" s="20" t="n"/>
      <c r="C189" s="20" t="n"/>
      <c r="D189" s="20" t="n"/>
      <c r="E189" s="20" t="n"/>
      <c r="F189" s="21" t="n"/>
      <c r="G189" s="21" t="n"/>
      <c r="H189" s="21" t="n"/>
      <c r="I189" s="22">
        <f>IF(A189="","",IF(H189&lt;&gt;"","Complete",IF(G189="","Open",IF(G189&lt;TODAY(),"Overdue",IF(G189-TODAY()&lt;=3,"Due Soon","Open")))))</f>
        <v/>
      </c>
      <c r="J189" s="23">
        <f>IF(OR(A189="",G189="",H189&lt;&gt;""),"",G189-TODAY())</f>
        <v/>
      </c>
      <c r="K189" s="23">
        <f>IF(OR(F189="",H189=""),"",H189-F189)</f>
        <v/>
      </c>
      <c r="L189" s="19" t="n"/>
      <c r="M189" s="20" t="n"/>
    </row>
    <row r="190">
      <c r="A190" s="19" t="n"/>
      <c r="B190" s="20" t="n"/>
      <c r="C190" s="20" t="n"/>
      <c r="D190" s="20" t="n"/>
      <c r="E190" s="20" t="n"/>
      <c r="F190" s="21" t="n"/>
      <c r="G190" s="21" t="n"/>
      <c r="H190" s="21" t="n"/>
      <c r="I190" s="22">
        <f>IF(A190="","",IF(H190&lt;&gt;"","Complete",IF(G190="","Open",IF(G190&lt;TODAY(),"Overdue",IF(G190-TODAY()&lt;=3,"Due Soon","Open")))))</f>
        <v/>
      </c>
      <c r="J190" s="23">
        <f>IF(OR(A190="",G190="",H190&lt;&gt;""),"",G190-TODAY())</f>
        <v/>
      </c>
      <c r="K190" s="23">
        <f>IF(OR(F190="",H190=""),"",H190-F190)</f>
        <v/>
      </c>
      <c r="L190" s="19" t="n"/>
      <c r="M190" s="20" t="n"/>
    </row>
    <row r="191">
      <c r="A191" s="19" t="n"/>
      <c r="B191" s="20" t="n"/>
      <c r="C191" s="20" t="n"/>
      <c r="D191" s="20" t="n"/>
      <c r="E191" s="20" t="n"/>
      <c r="F191" s="21" t="n"/>
      <c r="G191" s="21" t="n"/>
      <c r="H191" s="21" t="n"/>
      <c r="I191" s="22">
        <f>IF(A191="","",IF(H191&lt;&gt;"","Complete",IF(G191="","Open",IF(G191&lt;TODAY(),"Overdue",IF(G191-TODAY()&lt;=3,"Due Soon","Open")))))</f>
        <v/>
      </c>
      <c r="J191" s="23">
        <f>IF(OR(A191="",G191="",H191&lt;&gt;""),"",G191-TODAY())</f>
        <v/>
      </c>
      <c r="K191" s="23">
        <f>IF(OR(F191="",H191=""),"",H191-F191)</f>
        <v/>
      </c>
      <c r="L191" s="19" t="n"/>
      <c r="M191" s="20" t="n"/>
    </row>
    <row r="192">
      <c r="A192" s="19" t="n"/>
      <c r="B192" s="20" t="n"/>
      <c r="C192" s="20" t="n"/>
      <c r="D192" s="20" t="n"/>
      <c r="E192" s="20" t="n"/>
      <c r="F192" s="21" t="n"/>
      <c r="G192" s="21" t="n"/>
      <c r="H192" s="21" t="n"/>
      <c r="I192" s="22">
        <f>IF(A192="","",IF(H192&lt;&gt;"","Complete",IF(G192="","Open",IF(G192&lt;TODAY(),"Overdue",IF(G192-TODAY()&lt;=3,"Due Soon","Open")))))</f>
        <v/>
      </c>
      <c r="J192" s="23">
        <f>IF(OR(A192="",G192="",H192&lt;&gt;""),"",G192-TODAY())</f>
        <v/>
      </c>
      <c r="K192" s="23">
        <f>IF(OR(F192="",H192=""),"",H192-F192)</f>
        <v/>
      </c>
      <c r="L192" s="19" t="n"/>
      <c r="M192" s="20" t="n"/>
    </row>
    <row r="193">
      <c r="A193" s="19" t="n"/>
      <c r="B193" s="20" t="n"/>
      <c r="C193" s="20" t="n"/>
      <c r="D193" s="20" t="n"/>
      <c r="E193" s="20" t="n"/>
      <c r="F193" s="21" t="n"/>
      <c r="G193" s="21" t="n"/>
      <c r="H193" s="21" t="n"/>
      <c r="I193" s="22">
        <f>IF(A193="","",IF(H193&lt;&gt;"","Complete",IF(G193="","Open",IF(G193&lt;TODAY(),"Overdue",IF(G193-TODAY()&lt;=3,"Due Soon","Open")))))</f>
        <v/>
      </c>
      <c r="J193" s="23">
        <f>IF(OR(A193="",G193="",H193&lt;&gt;""),"",G193-TODAY())</f>
        <v/>
      </c>
      <c r="K193" s="23">
        <f>IF(OR(F193="",H193=""),"",H193-F193)</f>
        <v/>
      </c>
      <c r="L193" s="19" t="n"/>
      <c r="M193" s="20" t="n"/>
    </row>
    <row r="194">
      <c r="A194" s="19" t="n"/>
      <c r="B194" s="20" t="n"/>
      <c r="C194" s="20" t="n"/>
      <c r="D194" s="20" t="n"/>
      <c r="E194" s="20" t="n"/>
      <c r="F194" s="21" t="n"/>
      <c r="G194" s="21" t="n"/>
      <c r="H194" s="21" t="n"/>
      <c r="I194" s="22">
        <f>IF(A194="","",IF(H194&lt;&gt;"","Complete",IF(G194="","Open",IF(G194&lt;TODAY(),"Overdue",IF(G194-TODAY()&lt;=3,"Due Soon","Open")))))</f>
        <v/>
      </c>
      <c r="J194" s="23">
        <f>IF(OR(A194="",G194="",H194&lt;&gt;""),"",G194-TODAY())</f>
        <v/>
      </c>
      <c r="K194" s="23">
        <f>IF(OR(F194="",H194=""),"",H194-F194)</f>
        <v/>
      </c>
      <c r="L194" s="19" t="n"/>
      <c r="M194" s="20" t="n"/>
    </row>
    <row r="195">
      <c r="A195" s="19" t="n"/>
      <c r="B195" s="20" t="n"/>
      <c r="C195" s="20" t="n"/>
      <c r="D195" s="20" t="n"/>
      <c r="E195" s="20" t="n"/>
      <c r="F195" s="21" t="n"/>
      <c r="G195" s="21" t="n"/>
      <c r="H195" s="21" t="n"/>
      <c r="I195" s="22">
        <f>IF(A195="","",IF(H195&lt;&gt;"","Complete",IF(G195="","Open",IF(G195&lt;TODAY(),"Overdue",IF(G195-TODAY()&lt;=3,"Due Soon","Open")))))</f>
        <v/>
      </c>
      <c r="J195" s="23">
        <f>IF(OR(A195="",G195="",H195&lt;&gt;""),"",G195-TODAY())</f>
        <v/>
      </c>
      <c r="K195" s="23">
        <f>IF(OR(F195="",H195=""),"",H195-F195)</f>
        <v/>
      </c>
      <c r="L195" s="19" t="n"/>
      <c r="M195" s="20" t="n"/>
    </row>
    <row r="196">
      <c r="A196" s="19" t="n"/>
      <c r="B196" s="20" t="n"/>
      <c r="C196" s="20" t="n"/>
      <c r="D196" s="20" t="n"/>
      <c r="E196" s="20" t="n"/>
      <c r="F196" s="21" t="n"/>
      <c r="G196" s="21" t="n"/>
      <c r="H196" s="21" t="n"/>
      <c r="I196" s="22">
        <f>IF(A196="","",IF(H196&lt;&gt;"","Complete",IF(G196="","Open",IF(G196&lt;TODAY(),"Overdue",IF(G196-TODAY()&lt;=3,"Due Soon","Open")))))</f>
        <v/>
      </c>
      <c r="J196" s="23">
        <f>IF(OR(A196="",G196="",H196&lt;&gt;""),"",G196-TODAY())</f>
        <v/>
      </c>
      <c r="K196" s="23">
        <f>IF(OR(F196="",H196=""),"",H196-F196)</f>
        <v/>
      </c>
      <c r="L196" s="19" t="n"/>
      <c r="M196" s="20" t="n"/>
    </row>
    <row r="197">
      <c r="A197" s="19" t="n"/>
      <c r="B197" s="20" t="n"/>
      <c r="C197" s="20" t="n"/>
      <c r="D197" s="20" t="n"/>
      <c r="E197" s="20" t="n"/>
      <c r="F197" s="21" t="n"/>
      <c r="G197" s="21" t="n"/>
      <c r="H197" s="21" t="n"/>
      <c r="I197" s="22">
        <f>IF(A197="","",IF(H197&lt;&gt;"","Complete",IF(G197="","Open",IF(G197&lt;TODAY(),"Overdue",IF(G197-TODAY()&lt;=3,"Due Soon","Open")))))</f>
        <v/>
      </c>
      <c r="J197" s="23">
        <f>IF(OR(A197="",G197="",H197&lt;&gt;""),"",G197-TODAY())</f>
        <v/>
      </c>
      <c r="K197" s="23">
        <f>IF(OR(F197="",H197=""),"",H197-F197)</f>
        <v/>
      </c>
      <c r="L197" s="19" t="n"/>
      <c r="M197" s="20" t="n"/>
    </row>
    <row r="198">
      <c r="A198" s="19" t="n"/>
      <c r="B198" s="20" t="n"/>
      <c r="C198" s="20" t="n"/>
      <c r="D198" s="20" t="n"/>
      <c r="E198" s="20" t="n"/>
      <c r="F198" s="21" t="n"/>
      <c r="G198" s="21" t="n"/>
      <c r="H198" s="21" t="n"/>
      <c r="I198" s="22">
        <f>IF(A198="","",IF(H198&lt;&gt;"","Complete",IF(G198="","Open",IF(G198&lt;TODAY(),"Overdue",IF(G198-TODAY()&lt;=3,"Due Soon","Open")))))</f>
        <v/>
      </c>
      <c r="J198" s="23">
        <f>IF(OR(A198="",G198="",H198&lt;&gt;""),"",G198-TODAY())</f>
        <v/>
      </c>
      <c r="K198" s="23">
        <f>IF(OR(F198="",H198=""),"",H198-F198)</f>
        <v/>
      </c>
      <c r="L198" s="19" t="n"/>
      <c r="M198" s="20" t="n"/>
    </row>
    <row r="199">
      <c r="A199" s="19" t="n"/>
      <c r="B199" s="20" t="n"/>
      <c r="C199" s="20" t="n"/>
      <c r="D199" s="20" t="n"/>
      <c r="E199" s="20" t="n"/>
      <c r="F199" s="21" t="n"/>
      <c r="G199" s="21" t="n"/>
      <c r="H199" s="21" t="n"/>
      <c r="I199" s="22">
        <f>IF(A199="","",IF(H199&lt;&gt;"","Complete",IF(G199="","Open",IF(G199&lt;TODAY(),"Overdue",IF(G199-TODAY()&lt;=3,"Due Soon","Open")))))</f>
        <v/>
      </c>
      <c r="J199" s="23">
        <f>IF(OR(A199="",G199="",H199&lt;&gt;""),"",G199-TODAY())</f>
        <v/>
      </c>
      <c r="K199" s="23">
        <f>IF(OR(F199="",H199=""),"",H199-F199)</f>
        <v/>
      </c>
      <c r="L199" s="19" t="n"/>
      <c r="M199" s="20" t="n"/>
    </row>
    <row r="200">
      <c r="A200" s="19" t="n"/>
      <c r="B200" s="20" t="n"/>
      <c r="C200" s="20" t="n"/>
      <c r="D200" s="20" t="n"/>
      <c r="E200" s="20" t="n"/>
      <c r="F200" s="21" t="n"/>
      <c r="G200" s="21" t="n"/>
      <c r="H200" s="21" t="n"/>
      <c r="I200" s="22">
        <f>IF(A200="","",IF(H200&lt;&gt;"","Complete",IF(G200="","Open",IF(G200&lt;TODAY(),"Overdue",IF(G200-TODAY()&lt;=3,"Due Soon","Open")))))</f>
        <v/>
      </c>
      <c r="J200" s="23">
        <f>IF(OR(A200="",G200="",H200&lt;&gt;""),"",G200-TODAY())</f>
        <v/>
      </c>
      <c r="K200" s="23">
        <f>IF(OR(F200="",H200=""),"",H200-F200)</f>
        <v/>
      </c>
      <c r="L200" s="19" t="n"/>
      <c r="M200" s="20" t="n"/>
    </row>
    <row r="201">
      <c r="A201" s="19" t="n"/>
      <c r="B201" s="20" t="n"/>
      <c r="C201" s="20" t="n"/>
      <c r="D201" s="20" t="n"/>
      <c r="E201" s="20" t="n"/>
      <c r="F201" s="21" t="n"/>
      <c r="G201" s="21" t="n"/>
      <c r="H201" s="21" t="n"/>
      <c r="I201" s="22">
        <f>IF(A201="","",IF(H201&lt;&gt;"","Complete",IF(G201="","Open",IF(G201&lt;TODAY(),"Overdue",IF(G201-TODAY()&lt;=3,"Due Soon","Open")))))</f>
        <v/>
      </c>
      <c r="J201" s="23">
        <f>IF(OR(A201="",G201="",H201&lt;&gt;""),"",G201-TODAY())</f>
        <v/>
      </c>
      <c r="K201" s="23">
        <f>IF(OR(F201="",H201=""),"",H201-F201)</f>
        <v/>
      </c>
      <c r="L201" s="19" t="n"/>
      <c r="M201" s="20" t="n"/>
    </row>
    <row r="202">
      <c r="A202" s="19" t="n"/>
      <c r="B202" s="20" t="n"/>
      <c r="C202" s="20" t="n"/>
      <c r="D202" s="20" t="n"/>
      <c r="E202" s="20" t="n"/>
      <c r="F202" s="21" t="n"/>
      <c r="G202" s="21" t="n"/>
      <c r="H202" s="21" t="n"/>
      <c r="I202" s="22">
        <f>IF(A202="","",IF(H202&lt;&gt;"","Complete",IF(G202="","Open",IF(G202&lt;TODAY(),"Overdue",IF(G202-TODAY()&lt;=3,"Due Soon","Open")))))</f>
        <v/>
      </c>
      <c r="J202" s="23">
        <f>IF(OR(A202="",G202="",H202&lt;&gt;""),"",G202-TODAY())</f>
        <v/>
      </c>
      <c r="K202" s="23">
        <f>IF(OR(F202="",H202=""),"",H202-F202)</f>
        <v/>
      </c>
      <c r="L202" s="19" t="n"/>
      <c r="M202" s="20" t="n"/>
    </row>
    <row r="203">
      <c r="A203" s="19" t="n"/>
      <c r="B203" s="20" t="n"/>
      <c r="C203" s="20" t="n"/>
      <c r="D203" s="20" t="n"/>
      <c r="E203" s="20" t="n"/>
      <c r="F203" s="21" t="n"/>
      <c r="G203" s="21" t="n"/>
      <c r="H203" s="21" t="n"/>
      <c r="I203" s="22">
        <f>IF(A203="","",IF(H203&lt;&gt;"","Complete",IF(G203="","Open",IF(G203&lt;TODAY(),"Overdue",IF(G203-TODAY()&lt;=3,"Due Soon","Open")))))</f>
        <v/>
      </c>
      <c r="J203" s="23">
        <f>IF(OR(A203="",G203="",H203&lt;&gt;""),"",G203-TODAY())</f>
        <v/>
      </c>
      <c r="K203" s="23">
        <f>IF(OR(F203="",H203=""),"",H203-F203)</f>
        <v/>
      </c>
      <c r="L203" s="19" t="n"/>
      <c r="M203" s="20" t="n"/>
    </row>
    <row r="204">
      <c r="A204" s="19" t="n"/>
      <c r="B204" s="20" t="n"/>
      <c r="C204" s="20" t="n"/>
      <c r="D204" s="20" t="n"/>
      <c r="E204" s="20" t="n"/>
      <c r="F204" s="21" t="n"/>
      <c r="G204" s="21" t="n"/>
      <c r="H204" s="21" t="n"/>
      <c r="I204" s="22">
        <f>IF(A204="","",IF(H204&lt;&gt;"","Complete",IF(G204="","Open",IF(G204&lt;TODAY(),"Overdue",IF(G204-TODAY()&lt;=3,"Due Soon","Open")))))</f>
        <v/>
      </c>
      <c r="J204" s="23">
        <f>IF(OR(A204="",G204="",H204&lt;&gt;""),"",G204-TODAY())</f>
        <v/>
      </c>
      <c r="K204" s="23">
        <f>IF(OR(F204="",H204=""),"",H204-F204)</f>
        <v/>
      </c>
      <c r="L204" s="19" t="n"/>
      <c r="M204" s="20" t="n"/>
    </row>
    <row r="205">
      <c r="A205" s="19" t="n"/>
      <c r="B205" s="20" t="n"/>
      <c r="C205" s="20" t="n"/>
      <c r="D205" s="20" t="n"/>
      <c r="E205" s="20" t="n"/>
      <c r="F205" s="21" t="n"/>
      <c r="G205" s="21" t="n"/>
      <c r="H205" s="21" t="n"/>
      <c r="I205" s="22">
        <f>IF(A205="","",IF(H205&lt;&gt;"","Complete",IF(G205="","Open",IF(G205&lt;TODAY(),"Overdue",IF(G205-TODAY()&lt;=3,"Due Soon","Open")))))</f>
        <v/>
      </c>
      <c r="J205" s="23">
        <f>IF(OR(A205="",G205="",H205&lt;&gt;""),"",G205-TODAY())</f>
        <v/>
      </c>
      <c r="K205" s="23">
        <f>IF(OR(F205="",H205=""),"",H205-F205)</f>
        <v/>
      </c>
      <c r="L205" s="19" t="n"/>
      <c r="M205" s="20" t="n"/>
    </row>
    <row r="206">
      <c r="A206" s="19" t="n"/>
      <c r="B206" s="20" t="n"/>
      <c r="C206" s="20" t="n"/>
      <c r="D206" s="20" t="n"/>
      <c r="E206" s="20" t="n"/>
      <c r="F206" s="21" t="n"/>
      <c r="G206" s="21" t="n"/>
      <c r="H206" s="21" t="n"/>
      <c r="I206" s="22">
        <f>IF(A206="","",IF(H206&lt;&gt;"","Complete",IF(G206="","Open",IF(G206&lt;TODAY(),"Overdue",IF(G206-TODAY()&lt;=3,"Due Soon","Open")))))</f>
        <v/>
      </c>
      <c r="J206" s="23">
        <f>IF(OR(A206="",G206="",H206&lt;&gt;""),"",G206-TODAY())</f>
        <v/>
      </c>
      <c r="K206" s="23">
        <f>IF(OR(F206="",H206=""),"",H206-F206)</f>
        <v/>
      </c>
      <c r="L206" s="19" t="n"/>
      <c r="M206" s="20" t="n"/>
    </row>
    <row r="207">
      <c r="A207" s="19" t="n"/>
      <c r="B207" s="20" t="n"/>
      <c r="C207" s="20" t="n"/>
      <c r="D207" s="20" t="n"/>
      <c r="E207" s="20" t="n"/>
      <c r="F207" s="21" t="n"/>
      <c r="G207" s="21" t="n"/>
      <c r="H207" s="21" t="n"/>
      <c r="I207" s="22">
        <f>IF(A207="","",IF(H207&lt;&gt;"","Complete",IF(G207="","Open",IF(G207&lt;TODAY(),"Overdue",IF(G207-TODAY()&lt;=3,"Due Soon","Open")))))</f>
        <v/>
      </c>
      <c r="J207" s="23">
        <f>IF(OR(A207="",G207="",H207&lt;&gt;""),"",G207-TODAY())</f>
        <v/>
      </c>
      <c r="K207" s="23">
        <f>IF(OR(F207="",H207=""),"",H207-F207)</f>
        <v/>
      </c>
      <c r="L207" s="19" t="n"/>
      <c r="M207" s="20" t="n"/>
    </row>
    <row r="208">
      <c r="A208" s="19" t="n"/>
      <c r="B208" s="20" t="n"/>
      <c r="C208" s="20" t="n"/>
      <c r="D208" s="20" t="n"/>
      <c r="E208" s="20" t="n"/>
      <c r="F208" s="21" t="n"/>
      <c r="G208" s="21" t="n"/>
      <c r="H208" s="21" t="n"/>
      <c r="I208" s="22">
        <f>IF(A208="","",IF(H208&lt;&gt;"","Complete",IF(G208="","Open",IF(G208&lt;TODAY(),"Overdue",IF(G208-TODAY()&lt;=3,"Due Soon","Open")))))</f>
        <v/>
      </c>
      <c r="J208" s="23">
        <f>IF(OR(A208="",G208="",H208&lt;&gt;""),"",G208-TODAY())</f>
        <v/>
      </c>
      <c r="K208" s="23">
        <f>IF(OR(F208="",H208=""),"",H208-F208)</f>
        <v/>
      </c>
      <c r="L208" s="19" t="n"/>
      <c r="M208" s="20" t="n"/>
    </row>
    <row r="209">
      <c r="A209" s="19" t="n"/>
      <c r="B209" s="20" t="n"/>
      <c r="C209" s="20" t="n"/>
      <c r="D209" s="20" t="n"/>
      <c r="E209" s="20" t="n"/>
      <c r="F209" s="21" t="n"/>
      <c r="G209" s="21" t="n"/>
      <c r="H209" s="21" t="n"/>
      <c r="I209" s="22">
        <f>IF(A209="","",IF(H209&lt;&gt;"","Complete",IF(G209="","Open",IF(G209&lt;TODAY(),"Overdue",IF(G209-TODAY()&lt;=3,"Due Soon","Open")))))</f>
        <v/>
      </c>
      <c r="J209" s="23">
        <f>IF(OR(A209="",G209="",H209&lt;&gt;""),"",G209-TODAY())</f>
        <v/>
      </c>
      <c r="K209" s="23">
        <f>IF(OR(F209="",H209=""),"",H209-F209)</f>
        <v/>
      </c>
      <c r="L209" s="19" t="n"/>
      <c r="M209" s="20" t="n"/>
    </row>
    <row r="210">
      <c r="A210" s="19" t="n"/>
      <c r="B210" s="20" t="n"/>
      <c r="C210" s="20" t="n"/>
      <c r="D210" s="20" t="n"/>
      <c r="E210" s="20" t="n"/>
      <c r="F210" s="21" t="n"/>
      <c r="G210" s="21" t="n"/>
      <c r="H210" s="21" t="n"/>
      <c r="I210" s="22">
        <f>IF(A210="","",IF(H210&lt;&gt;"","Complete",IF(G210="","Open",IF(G210&lt;TODAY(),"Overdue",IF(G210-TODAY()&lt;=3,"Due Soon","Open")))))</f>
        <v/>
      </c>
      <c r="J210" s="23">
        <f>IF(OR(A210="",G210="",H210&lt;&gt;""),"",G210-TODAY())</f>
        <v/>
      </c>
      <c r="K210" s="23">
        <f>IF(OR(F210="",H210=""),"",H210-F210)</f>
        <v/>
      </c>
      <c r="L210" s="19" t="n"/>
      <c r="M210" s="20" t="n"/>
    </row>
    <row r="211">
      <c r="A211" s="19" t="n"/>
      <c r="B211" s="20" t="n"/>
      <c r="C211" s="20" t="n"/>
      <c r="D211" s="20" t="n"/>
      <c r="E211" s="20" t="n"/>
      <c r="F211" s="21" t="n"/>
      <c r="G211" s="21" t="n"/>
      <c r="H211" s="21" t="n"/>
      <c r="I211" s="22">
        <f>IF(A211="","",IF(H211&lt;&gt;"","Complete",IF(G211="","Open",IF(G211&lt;TODAY(),"Overdue",IF(G211-TODAY()&lt;=3,"Due Soon","Open")))))</f>
        <v/>
      </c>
      <c r="J211" s="23">
        <f>IF(OR(A211="",G211="",H211&lt;&gt;""),"",G211-TODAY())</f>
        <v/>
      </c>
      <c r="K211" s="23">
        <f>IF(OR(F211="",H211=""),"",H211-F211)</f>
        <v/>
      </c>
      <c r="L211" s="19" t="n"/>
      <c r="M211" s="20" t="n"/>
    </row>
    <row r="212">
      <c r="A212" s="19" t="n"/>
      <c r="B212" s="20" t="n"/>
      <c r="C212" s="20" t="n"/>
      <c r="D212" s="20" t="n"/>
      <c r="E212" s="20" t="n"/>
      <c r="F212" s="21" t="n"/>
      <c r="G212" s="21" t="n"/>
      <c r="H212" s="21" t="n"/>
      <c r="I212" s="22">
        <f>IF(A212="","",IF(H212&lt;&gt;"","Complete",IF(G212="","Open",IF(G212&lt;TODAY(),"Overdue",IF(G212-TODAY()&lt;=3,"Due Soon","Open")))))</f>
        <v/>
      </c>
      <c r="J212" s="23">
        <f>IF(OR(A212="",G212="",H212&lt;&gt;""),"",G212-TODAY())</f>
        <v/>
      </c>
      <c r="K212" s="23">
        <f>IF(OR(F212="",H212=""),"",H212-F212)</f>
        <v/>
      </c>
      <c r="L212" s="19" t="n"/>
      <c r="M212" s="20" t="n"/>
    </row>
    <row r="213">
      <c r="A213" s="19" t="n"/>
      <c r="B213" s="20" t="n"/>
      <c r="C213" s="20" t="n"/>
      <c r="D213" s="20" t="n"/>
      <c r="E213" s="20" t="n"/>
      <c r="F213" s="21" t="n"/>
      <c r="G213" s="21" t="n"/>
      <c r="H213" s="21" t="n"/>
      <c r="I213" s="22">
        <f>IF(A213="","",IF(H213&lt;&gt;"","Complete",IF(G213="","Open",IF(G213&lt;TODAY(),"Overdue",IF(G213-TODAY()&lt;=3,"Due Soon","Open")))))</f>
        <v/>
      </c>
      <c r="J213" s="23">
        <f>IF(OR(A213="",G213="",H213&lt;&gt;""),"",G213-TODAY())</f>
        <v/>
      </c>
      <c r="K213" s="23">
        <f>IF(OR(F213="",H213=""),"",H213-F213)</f>
        <v/>
      </c>
      <c r="L213" s="19" t="n"/>
      <c r="M213" s="20" t="n"/>
    </row>
    <row r="214">
      <c r="A214" s="19" t="n"/>
      <c r="B214" s="20" t="n"/>
      <c r="C214" s="20" t="n"/>
      <c r="D214" s="20" t="n"/>
      <c r="E214" s="20" t="n"/>
      <c r="F214" s="21" t="n"/>
      <c r="G214" s="21" t="n"/>
      <c r="H214" s="21" t="n"/>
      <c r="I214" s="22">
        <f>IF(A214="","",IF(H214&lt;&gt;"","Complete",IF(G214="","Open",IF(G214&lt;TODAY(),"Overdue",IF(G214-TODAY()&lt;=3,"Due Soon","Open")))))</f>
        <v/>
      </c>
      <c r="J214" s="23">
        <f>IF(OR(A214="",G214="",H214&lt;&gt;""),"",G214-TODAY())</f>
        <v/>
      </c>
      <c r="K214" s="23">
        <f>IF(OR(F214="",H214=""),"",H214-F214)</f>
        <v/>
      </c>
      <c r="L214" s="19" t="n"/>
      <c r="M214" s="20" t="n"/>
    </row>
    <row r="215">
      <c r="A215" s="19" t="n"/>
      <c r="B215" s="20" t="n"/>
      <c r="C215" s="20" t="n"/>
      <c r="D215" s="20" t="n"/>
      <c r="E215" s="20" t="n"/>
      <c r="F215" s="21" t="n"/>
      <c r="G215" s="21" t="n"/>
      <c r="H215" s="21" t="n"/>
      <c r="I215" s="22">
        <f>IF(A215="","",IF(H215&lt;&gt;"","Complete",IF(G215="","Open",IF(G215&lt;TODAY(),"Overdue",IF(G215-TODAY()&lt;=3,"Due Soon","Open")))))</f>
        <v/>
      </c>
      <c r="J215" s="23">
        <f>IF(OR(A215="",G215="",H215&lt;&gt;""),"",G215-TODAY())</f>
        <v/>
      </c>
      <c r="K215" s="23">
        <f>IF(OR(F215="",H215=""),"",H215-F215)</f>
        <v/>
      </c>
      <c r="L215" s="19" t="n"/>
      <c r="M215" s="20" t="n"/>
    </row>
    <row r="216">
      <c r="A216" s="19" t="n"/>
      <c r="B216" s="20" t="n"/>
      <c r="C216" s="20" t="n"/>
      <c r="D216" s="20" t="n"/>
      <c r="E216" s="20" t="n"/>
      <c r="F216" s="21" t="n"/>
      <c r="G216" s="21" t="n"/>
      <c r="H216" s="21" t="n"/>
      <c r="I216" s="22">
        <f>IF(A216="","",IF(H216&lt;&gt;"","Complete",IF(G216="","Open",IF(G216&lt;TODAY(),"Overdue",IF(G216-TODAY()&lt;=3,"Due Soon","Open")))))</f>
        <v/>
      </c>
      <c r="J216" s="23">
        <f>IF(OR(A216="",G216="",H216&lt;&gt;""),"",G216-TODAY())</f>
        <v/>
      </c>
      <c r="K216" s="23">
        <f>IF(OR(F216="",H216=""),"",H216-F216)</f>
        <v/>
      </c>
      <c r="L216" s="19" t="n"/>
      <c r="M216" s="20" t="n"/>
    </row>
    <row r="217">
      <c r="A217" s="19" t="n"/>
      <c r="B217" s="20" t="n"/>
      <c r="C217" s="20" t="n"/>
      <c r="D217" s="20" t="n"/>
      <c r="E217" s="20" t="n"/>
      <c r="F217" s="21" t="n"/>
      <c r="G217" s="21" t="n"/>
      <c r="H217" s="21" t="n"/>
      <c r="I217" s="22">
        <f>IF(A217="","",IF(H217&lt;&gt;"","Complete",IF(G217="","Open",IF(G217&lt;TODAY(),"Overdue",IF(G217-TODAY()&lt;=3,"Due Soon","Open")))))</f>
        <v/>
      </c>
      <c r="J217" s="23">
        <f>IF(OR(A217="",G217="",H217&lt;&gt;""),"",G217-TODAY())</f>
        <v/>
      </c>
      <c r="K217" s="23">
        <f>IF(OR(F217="",H217=""),"",H217-F217)</f>
        <v/>
      </c>
      <c r="L217" s="19" t="n"/>
      <c r="M217" s="20" t="n"/>
    </row>
    <row r="218">
      <c r="A218" s="19" t="n"/>
      <c r="B218" s="20" t="n"/>
      <c r="C218" s="20" t="n"/>
      <c r="D218" s="20" t="n"/>
      <c r="E218" s="20" t="n"/>
      <c r="F218" s="21" t="n"/>
      <c r="G218" s="21" t="n"/>
      <c r="H218" s="21" t="n"/>
      <c r="I218" s="22">
        <f>IF(A218="","",IF(H218&lt;&gt;"","Complete",IF(G218="","Open",IF(G218&lt;TODAY(),"Overdue",IF(G218-TODAY()&lt;=3,"Due Soon","Open")))))</f>
        <v/>
      </c>
      <c r="J218" s="23">
        <f>IF(OR(A218="",G218="",H218&lt;&gt;""),"",G218-TODAY())</f>
        <v/>
      </c>
      <c r="K218" s="23">
        <f>IF(OR(F218="",H218=""),"",H218-F218)</f>
        <v/>
      </c>
      <c r="L218" s="19" t="n"/>
      <c r="M218" s="20" t="n"/>
    </row>
    <row r="219">
      <c r="A219" s="19" t="n"/>
      <c r="B219" s="20" t="n"/>
      <c r="C219" s="20" t="n"/>
      <c r="D219" s="20" t="n"/>
      <c r="E219" s="20" t="n"/>
      <c r="F219" s="21" t="n"/>
      <c r="G219" s="21" t="n"/>
      <c r="H219" s="21" t="n"/>
      <c r="I219" s="22">
        <f>IF(A219="","",IF(H219&lt;&gt;"","Complete",IF(G219="","Open",IF(G219&lt;TODAY(),"Overdue",IF(G219-TODAY()&lt;=3,"Due Soon","Open")))))</f>
        <v/>
      </c>
      <c r="J219" s="23">
        <f>IF(OR(A219="",G219="",H219&lt;&gt;""),"",G219-TODAY())</f>
        <v/>
      </c>
      <c r="K219" s="23">
        <f>IF(OR(F219="",H219=""),"",H219-F219)</f>
        <v/>
      </c>
      <c r="L219" s="19" t="n"/>
      <c r="M219" s="20" t="n"/>
    </row>
    <row r="220">
      <c r="A220" s="19" t="n"/>
      <c r="B220" s="20" t="n"/>
      <c r="C220" s="20" t="n"/>
      <c r="D220" s="20" t="n"/>
      <c r="E220" s="20" t="n"/>
      <c r="F220" s="21" t="n"/>
      <c r="G220" s="21" t="n"/>
      <c r="H220" s="21" t="n"/>
      <c r="I220" s="22">
        <f>IF(A220="","",IF(H220&lt;&gt;"","Complete",IF(G220="","Open",IF(G220&lt;TODAY(),"Overdue",IF(G220-TODAY()&lt;=3,"Due Soon","Open")))))</f>
        <v/>
      </c>
      <c r="J220" s="23">
        <f>IF(OR(A220="",G220="",H220&lt;&gt;""),"",G220-TODAY())</f>
        <v/>
      </c>
      <c r="K220" s="23">
        <f>IF(OR(F220="",H220=""),"",H220-F220)</f>
        <v/>
      </c>
      <c r="L220" s="19" t="n"/>
      <c r="M220" s="20" t="n"/>
    </row>
    <row r="221">
      <c r="A221" s="19" t="n"/>
      <c r="B221" s="20" t="n"/>
      <c r="C221" s="20" t="n"/>
      <c r="D221" s="20" t="n"/>
      <c r="E221" s="20" t="n"/>
      <c r="F221" s="21" t="n"/>
      <c r="G221" s="21" t="n"/>
      <c r="H221" s="21" t="n"/>
      <c r="I221" s="22">
        <f>IF(A221="","",IF(H221&lt;&gt;"","Complete",IF(G221="","Open",IF(G221&lt;TODAY(),"Overdue",IF(G221-TODAY()&lt;=3,"Due Soon","Open")))))</f>
        <v/>
      </c>
      <c r="J221" s="23">
        <f>IF(OR(A221="",G221="",H221&lt;&gt;""),"",G221-TODAY())</f>
        <v/>
      </c>
      <c r="K221" s="23">
        <f>IF(OR(F221="",H221=""),"",H221-F221)</f>
        <v/>
      </c>
      <c r="L221" s="19" t="n"/>
      <c r="M221" s="20" t="n"/>
    </row>
    <row r="222">
      <c r="A222" s="19" t="n"/>
      <c r="B222" s="20" t="n"/>
      <c r="C222" s="20" t="n"/>
      <c r="D222" s="20" t="n"/>
      <c r="E222" s="20" t="n"/>
      <c r="F222" s="21" t="n"/>
      <c r="G222" s="21" t="n"/>
      <c r="H222" s="21" t="n"/>
      <c r="I222" s="22">
        <f>IF(A222="","",IF(H222&lt;&gt;"","Complete",IF(G222="","Open",IF(G222&lt;TODAY(),"Overdue",IF(G222-TODAY()&lt;=3,"Due Soon","Open")))))</f>
        <v/>
      </c>
      <c r="J222" s="23">
        <f>IF(OR(A222="",G222="",H222&lt;&gt;""),"",G222-TODAY())</f>
        <v/>
      </c>
      <c r="K222" s="23">
        <f>IF(OR(F222="",H222=""),"",H222-F222)</f>
        <v/>
      </c>
      <c r="L222" s="19" t="n"/>
      <c r="M222" s="20" t="n"/>
    </row>
    <row r="223">
      <c r="A223" s="19" t="n"/>
      <c r="B223" s="20" t="n"/>
      <c r="C223" s="20" t="n"/>
      <c r="D223" s="20" t="n"/>
      <c r="E223" s="20" t="n"/>
      <c r="F223" s="21" t="n"/>
      <c r="G223" s="21" t="n"/>
      <c r="H223" s="21" t="n"/>
      <c r="I223" s="22">
        <f>IF(A223="","",IF(H223&lt;&gt;"","Complete",IF(G223="","Open",IF(G223&lt;TODAY(),"Overdue",IF(G223-TODAY()&lt;=3,"Due Soon","Open")))))</f>
        <v/>
      </c>
      <c r="J223" s="23">
        <f>IF(OR(A223="",G223="",H223&lt;&gt;""),"",G223-TODAY())</f>
        <v/>
      </c>
      <c r="K223" s="23">
        <f>IF(OR(F223="",H223=""),"",H223-F223)</f>
        <v/>
      </c>
      <c r="L223" s="19" t="n"/>
      <c r="M223" s="20" t="n"/>
    </row>
    <row r="224">
      <c r="A224" s="19" t="n"/>
      <c r="B224" s="20" t="n"/>
      <c r="C224" s="20" t="n"/>
      <c r="D224" s="20" t="n"/>
      <c r="E224" s="20" t="n"/>
      <c r="F224" s="21" t="n"/>
      <c r="G224" s="21" t="n"/>
      <c r="H224" s="21" t="n"/>
      <c r="I224" s="22">
        <f>IF(A224="","",IF(H224&lt;&gt;"","Complete",IF(G224="","Open",IF(G224&lt;TODAY(),"Overdue",IF(G224-TODAY()&lt;=3,"Due Soon","Open")))))</f>
        <v/>
      </c>
      <c r="J224" s="23">
        <f>IF(OR(A224="",G224="",H224&lt;&gt;""),"",G224-TODAY())</f>
        <v/>
      </c>
      <c r="K224" s="23">
        <f>IF(OR(F224="",H224=""),"",H224-F224)</f>
        <v/>
      </c>
      <c r="L224" s="19" t="n"/>
      <c r="M224" s="20" t="n"/>
    </row>
    <row r="225">
      <c r="A225" s="19" t="n"/>
      <c r="B225" s="20" t="n"/>
      <c r="C225" s="20" t="n"/>
      <c r="D225" s="20" t="n"/>
      <c r="E225" s="20" t="n"/>
      <c r="F225" s="21" t="n"/>
      <c r="G225" s="21" t="n"/>
      <c r="H225" s="21" t="n"/>
      <c r="I225" s="22">
        <f>IF(A225="","",IF(H225&lt;&gt;"","Complete",IF(G225="","Open",IF(G225&lt;TODAY(),"Overdue",IF(G225-TODAY()&lt;=3,"Due Soon","Open")))))</f>
        <v/>
      </c>
      <c r="J225" s="23">
        <f>IF(OR(A225="",G225="",H225&lt;&gt;""),"",G225-TODAY())</f>
        <v/>
      </c>
      <c r="K225" s="23">
        <f>IF(OR(F225="",H225=""),"",H225-F225)</f>
        <v/>
      </c>
      <c r="L225" s="19" t="n"/>
      <c r="M225" s="20" t="n"/>
    </row>
    <row r="226">
      <c r="A226" s="19" t="n"/>
      <c r="B226" s="20" t="n"/>
      <c r="C226" s="20" t="n"/>
      <c r="D226" s="20" t="n"/>
      <c r="E226" s="20" t="n"/>
      <c r="F226" s="21" t="n"/>
      <c r="G226" s="21" t="n"/>
      <c r="H226" s="21" t="n"/>
      <c r="I226" s="22">
        <f>IF(A226="","",IF(H226&lt;&gt;"","Complete",IF(G226="","Open",IF(G226&lt;TODAY(),"Overdue",IF(G226-TODAY()&lt;=3,"Due Soon","Open")))))</f>
        <v/>
      </c>
      <c r="J226" s="23">
        <f>IF(OR(A226="",G226="",H226&lt;&gt;""),"",G226-TODAY())</f>
        <v/>
      </c>
      <c r="K226" s="23">
        <f>IF(OR(F226="",H226=""),"",H226-F226)</f>
        <v/>
      </c>
      <c r="L226" s="19" t="n"/>
      <c r="M226" s="20" t="n"/>
    </row>
    <row r="227">
      <c r="A227" s="19" t="n"/>
      <c r="B227" s="20" t="n"/>
      <c r="C227" s="20" t="n"/>
      <c r="D227" s="20" t="n"/>
      <c r="E227" s="20" t="n"/>
      <c r="F227" s="21" t="n"/>
      <c r="G227" s="21" t="n"/>
      <c r="H227" s="21" t="n"/>
      <c r="I227" s="22">
        <f>IF(A227="","",IF(H227&lt;&gt;"","Complete",IF(G227="","Open",IF(G227&lt;TODAY(),"Overdue",IF(G227-TODAY()&lt;=3,"Due Soon","Open")))))</f>
        <v/>
      </c>
      <c r="J227" s="23">
        <f>IF(OR(A227="",G227="",H227&lt;&gt;""),"",G227-TODAY())</f>
        <v/>
      </c>
      <c r="K227" s="23">
        <f>IF(OR(F227="",H227=""),"",H227-F227)</f>
        <v/>
      </c>
      <c r="L227" s="19" t="n"/>
      <c r="M227" s="20" t="n"/>
    </row>
    <row r="228">
      <c r="A228" s="19" t="n"/>
      <c r="B228" s="20" t="n"/>
      <c r="C228" s="20" t="n"/>
      <c r="D228" s="20" t="n"/>
      <c r="E228" s="20" t="n"/>
      <c r="F228" s="21" t="n"/>
      <c r="G228" s="21" t="n"/>
      <c r="H228" s="21" t="n"/>
      <c r="I228" s="22">
        <f>IF(A228="","",IF(H228&lt;&gt;"","Complete",IF(G228="","Open",IF(G228&lt;TODAY(),"Overdue",IF(G228-TODAY()&lt;=3,"Due Soon","Open")))))</f>
        <v/>
      </c>
      <c r="J228" s="23">
        <f>IF(OR(A228="",G228="",H228&lt;&gt;""),"",G228-TODAY())</f>
        <v/>
      </c>
      <c r="K228" s="23">
        <f>IF(OR(F228="",H228=""),"",H228-F228)</f>
        <v/>
      </c>
      <c r="L228" s="19" t="n"/>
      <c r="M228" s="20" t="n"/>
    </row>
    <row r="229">
      <c r="A229" s="19" t="n"/>
      <c r="B229" s="20" t="n"/>
      <c r="C229" s="20" t="n"/>
      <c r="D229" s="20" t="n"/>
      <c r="E229" s="20" t="n"/>
      <c r="F229" s="21" t="n"/>
      <c r="G229" s="21" t="n"/>
      <c r="H229" s="21" t="n"/>
      <c r="I229" s="22">
        <f>IF(A229="","",IF(H229&lt;&gt;"","Complete",IF(G229="","Open",IF(G229&lt;TODAY(),"Overdue",IF(G229-TODAY()&lt;=3,"Due Soon","Open")))))</f>
        <v/>
      </c>
      <c r="J229" s="23">
        <f>IF(OR(A229="",G229="",H229&lt;&gt;""),"",G229-TODAY())</f>
        <v/>
      </c>
      <c r="K229" s="23">
        <f>IF(OR(F229="",H229=""),"",H229-F229)</f>
        <v/>
      </c>
      <c r="L229" s="19" t="n"/>
      <c r="M229" s="20" t="n"/>
    </row>
    <row r="230">
      <c r="A230" s="19" t="n"/>
      <c r="B230" s="20" t="n"/>
      <c r="C230" s="20" t="n"/>
      <c r="D230" s="20" t="n"/>
      <c r="E230" s="20" t="n"/>
      <c r="F230" s="21" t="n"/>
      <c r="G230" s="21" t="n"/>
      <c r="H230" s="21" t="n"/>
      <c r="I230" s="22">
        <f>IF(A230="","",IF(H230&lt;&gt;"","Complete",IF(G230="","Open",IF(G230&lt;TODAY(),"Overdue",IF(G230-TODAY()&lt;=3,"Due Soon","Open")))))</f>
        <v/>
      </c>
      <c r="J230" s="23">
        <f>IF(OR(A230="",G230="",H230&lt;&gt;""),"",G230-TODAY())</f>
        <v/>
      </c>
      <c r="K230" s="23">
        <f>IF(OR(F230="",H230=""),"",H230-F230)</f>
        <v/>
      </c>
      <c r="L230" s="19" t="n"/>
      <c r="M230" s="20" t="n"/>
    </row>
    <row r="231">
      <c r="A231" s="19" t="n"/>
      <c r="B231" s="20" t="n"/>
      <c r="C231" s="20" t="n"/>
      <c r="D231" s="20" t="n"/>
      <c r="E231" s="20" t="n"/>
      <c r="F231" s="21" t="n"/>
      <c r="G231" s="21" t="n"/>
      <c r="H231" s="21" t="n"/>
      <c r="I231" s="22">
        <f>IF(A231="","",IF(H231&lt;&gt;"","Complete",IF(G231="","Open",IF(G231&lt;TODAY(),"Overdue",IF(G231-TODAY()&lt;=3,"Due Soon","Open")))))</f>
        <v/>
      </c>
      <c r="J231" s="23">
        <f>IF(OR(A231="",G231="",H231&lt;&gt;""),"",G231-TODAY())</f>
        <v/>
      </c>
      <c r="K231" s="23">
        <f>IF(OR(F231="",H231=""),"",H231-F231)</f>
        <v/>
      </c>
      <c r="L231" s="19" t="n"/>
      <c r="M231" s="20" t="n"/>
    </row>
    <row r="232">
      <c r="A232" s="19" t="n"/>
      <c r="B232" s="20" t="n"/>
      <c r="C232" s="20" t="n"/>
      <c r="D232" s="20" t="n"/>
      <c r="E232" s="20" t="n"/>
      <c r="F232" s="21" t="n"/>
      <c r="G232" s="21" t="n"/>
      <c r="H232" s="21" t="n"/>
      <c r="I232" s="22">
        <f>IF(A232="","",IF(H232&lt;&gt;"","Complete",IF(G232="","Open",IF(G232&lt;TODAY(),"Overdue",IF(G232-TODAY()&lt;=3,"Due Soon","Open")))))</f>
        <v/>
      </c>
      <c r="J232" s="23">
        <f>IF(OR(A232="",G232="",H232&lt;&gt;""),"",G232-TODAY())</f>
        <v/>
      </c>
      <c r="K232" s="23">
        <f>IF(OR(F232="",H232=""),"",H232-F232)</f>
        <v/>
      </c>
      <c r="L232" s="19" t="n"/>
      <c r="M232" s="20" t="n"/>
    </row>
    <row r="233">
      <c r="A233" s="19" t="n"/>
      <c r="B233" s="20" t="n"/>
      <c r="C233" s="20" t="n"/>
      <c r="D233" s="20" t="n"/>
      <c r="E233" s="20" t="n"/>
      <c r="F233" s="21" t="n"/>
      <c r="G233" s="21" t="n"/>
      <c r="H233" s="21" t="n"/>
      <c r="I233" s="22">
        <f>IF(A233="","",IF(H233&lt;&gt;"","Complete",IF(G233="","Open",IF(G233&lt;TODAY(),"Overdue",IF(G233-TODAY()&lt;=3,"Due Soon","Open")))))</f>
        <v/>
      </c>
      <c r="J233" s="23">
        <f>IF(OR(A233="",G233="",H233&lt;&gt;""),"",G233-TODAY())</f>
        <v/>
      </c>
      <c r="K233" s="23">
        <f>IF(OR(F233="",H233=""),"",H233-F233)</f>
        <v/>
      </c>
      <c r="L233" s="19" t="n"/>
      <c r="M233" s="20" t="n"/>
    </row>
    <row r="234">
      <c r="A234" s="19" t="n"/>
      <c r="B234" s="20" t="n"/>
      <c r="C234" s="20" t="n"/>
      <c r="D234" s="20" t="n"/>
      <c r="E234" s="20" t="n"/>
      <c r="F234" s="21" t="n"/>
      <c r="G234" s="21" t="n"/>
      <c r="H234" s="21" t="n"/>
      <c r="I234" s="22">
        <f>IF(A234="","",IF(H234&lt;&gt;"","Complete",IF(G234="","Open",IF(G234&lt;TODAY(),"Overdue",IF(G234-TODAY()&lt;=3,"Due Soon","Open")))))</f>
        <v/>
      </c>
      <c r="J234" s="23">
        <f>IF(OR(A234="",G234="",H234&lt;&gt;""),"",G234-TODAY())</f>
        <v/>
      </c>
      <c r="K234" s="23">
        <f>IF(OR(F234="",H234=""),"",H234-F234)</f>
        <v/>
      </c>
      <c r="L234" s="19" t="n"/>
      <c r="M234" s="20" t="n"/>
    </row>
    <row r="235">
      <c r="A235" s="19" t="n"/>
      <c r="B235" s="20" t="n"/>
      <c r="C235" s="20" t="n"/>
      <c r="D235" s="20" t="n"/>
      <c r="E235" s="20" t="n"/>
      <c r="F235" s="21" t="n"/>
      <c r="G235" s="21" t="n"/>
      <c r="H235" s="21" t="n"/>
      <c r="I235" s="22">
        <f>IF(A235="","",IF(H235&lt;&gt;"","Complete",IF(G235="","Open",IF(G235&lt;TODAY(),"Overdue",IF(G235-TODAY()&lt;=3,"Due Soon","Open")))))</f>
        <v/>
      </c>
      <c r="J235" s="23">
        <f>IF(OR(A235="",G235="",H235&lt;&gt;""),"",G235-TODAY())</f>
        <v/>
      </c>
      <c r="K235" s="23">
        <f>IF(OR(F235="",H235=""),"",H235-F235)</f>
        <v/>
      </c>
      <c r="L235" s="19" t="n"/>
      <c r="M235" s="20" t="n"/>
    </row>
    <row r="236">
      <c r="A236" s="19" t="n"/>
      <c r="B236" s="20" t="n"/>
      <c r="C236" s="20" t="n"/>
      <c r="D236" s="20" t="n"/>
      <c r="E236" s="20" t="n"/>
      <c r="F236" s="21" t="n"/>
      <c r="G236" s="21" t="n"/>
      <c r="H236" s="21" t="n"/>
      <c r="I236" s="22">
        <f>IF(A236="","",IF(H236&lt;&gt;"","Complete",IF(G236="","Open",IF(G236&lt;TODAY(),"Overdue",IF(G236-TODAY()&lt;=3,"Due Soon","Open")))))</f>
        <v/>
      </c>
      <c r="J236" s="23">
        <f>IF(OR(A236="",G236="",H236&lt;&gt;""),"",G236-TODAY())</f>
        <v/>
      </c>
      <c r="K236" s="23">
        <f>IF(OR(F236="",H236=""),"",H236-F236)</f>
        <v/>
      </c>
      <c r="L236" s="19" t="n"/>
      <c r="M236" s="20" t="n"/>
    </row>
    <row r="237">
      <c r="A237" s="19" t="n"/>
      <c r="B237" s="20" t="n"/>
      <c r="C237" s="20" t="n"/>
      <c r="D237" s="20" t="n"/>
      <c r="E237" s="20" t="n"/>
      <c r="F237" s="21" t="n"/>
      <c r="G237" s="21" t="n"/>
      <c r="H237" s="21" t="n"/>
      <c r="I237" s="22">
        <f>IF(A237="","",IF(H237&lt;&gt;"","Complete",IF(G237="","Open",IF(G237&lt;TODAY(),"Overdue",IF(G237-TODAY()&lt;=3,"Due Soon","Open")))))</f>
        <v/>
      </c>
      <c r="J237" s="23">
        <f>IF(OR(A237="",G237="",H237&lt;&gt;""),"",G237-TODAY())</f>
        <v/>
      </c>
      <c r="K237" s="23">
        <f>IF(OR(F237="",H237=""),"",H237-F237)</f>
        <v/>
      </c>
      <c r="L237" s="19" t="n"/>
      <c r="M237" s="20" t="n"/>
    </row>
    <row r="238">
      <c r="A238" s="19" t="n"/>
      <c r="B238" s="20" t="n"/>
      <c r="C238" s="20" t="n"/>
      <c r="D238" s="20" t="n"/>
      <c r="E238" s="20" t="n"/>
      <c r="F238" s="21" t="n"/>
      <c r="G238" s="21" t="n"/>
      <c r="H238" s="21" t="n"/>
      <c r="I238" s="22">
        <f>IF(A238="","",IF(H238&lt;&gt;"","Complete",IF(G238="","Open",IF(G238&lt;TODAY(),"Overdue",IF(G238-TODAY()&lt;=3,"Due Soon","Open")))))</f>
        <v/>
      </c>
      <c r="J238" s="23">
        <f>IF(OR(A238="",G238="",H238&lt;&gt;""),"",G238-TODAY())</f>
        <v/>
      </c>
      <c r="K238" s="23">
        <f>IF(OR(F238="",H238=""),"",H238-F238)</f>
        <v/>
      </c>
      <c r="L238" s="19" t="n"/>
      <c r="M238" s="20" t="n"/>
    </row>
    <row r="239">
      <c r="A239" s="19" t="n"/>
      <c r="B239" s="20" t="n"/>
      <c r="C239" s="20" t="n"/>
      <c r="D239" s="20" t="n"/>
      <c r="E239" s="20" t="n"/>
      <c r="F239" s="21" t="n"/>
      <c r="G239" s="21" t="n"/>
      <c r="H239" s="21" t="n"/>
      <c r="I239" s="22">
        <f>IF(A239="","",IF(H239&lt;&gt;"","Complete",IF(G239="","Open",IF(G239&lt;TODAY(),"Overdue",IF(G239-TODAY()&lt;=3,"Due Soon","Open")))))</f>
        <v/>
      </c>
      <c r="J239" s="23">
        <f>IF(OR(A239="",G239="",H239&lt;&gt;""),"",G239-TODAY())</f>
        <v/>
      </c>
      <c r="K239" s="23">
        <f>IF(OR(F239="",H239=""),"",H239-F239)</f>
        <v/>
      </c>
      <c r="L239" s="19" t="n"/>
      <c r="M239" s="20" t="n"/>
    </row>
    <row r="240">
      <c r="A240" s="19" t="n"/>
      <c r="B240" s="20" t="n"/>
      <c r="C240" s="20" t="n"/>
      <c r="D240" s="20" t="n"/>
      <c r="E240" s="20" t="n"/>
      <c r="F240" s="21" t="n"/>
      <c r="G240" s="21" t="n"/>
      <c r="H240" s="21" t="n"/>
      <c r="I240" s="22">
        <f>IF(A240="","",IF(H240&lt;&gt;"","Complete",IF(G240="","Open",IF(G240&lt;TODAY(),"Overdue",IF(G240-TODAY()&lt;=3,"Due Soon","Open")))))</f>
        <v/>
      </c>
      <c r="J240" s="23">
        <f>IF(OR(A240="",G240="",H240&lt;&gt;""),"",G240-TODAY())</f>
        <v/>
      </c>
      <c r="K240" s="23">
        <f>IF(OR(F240="",H240=""),"",H240-F240)</f>
        <v/>
      </c>
      <c r="L240" s="19" t="n"/>
      <c r="M240" s="20" t="n"/>
    </row>
    <row r="241">
      <c r="A241" s="19" t="n"/>
      <c r="B241" s="20" t="n"/>
      <c r="C241" s="20" t="n"/>
      <c r="D241" s="20" t="n"/>
      <c r="E241" s="20" t="n"/>
      <c r="F241" s="21" t="n"/>
      <c r="G241" s="21" t="n"/>
      <c r="H241" s="21" t="n"/>
      <c r="I241" s="22">
        <f>IF(A241="","",IF(H241&lt;&gt;"","Complete",IF(G241="","Open",IF(G241&lt;TODAY(),"Overdue",IF(G241-TODAY()&lt;=3,"Due Soon","Open")))))</f>
        <v/>
      </c>
      <c r="J241" s="23">
        <f>IF(OR(A241="",G241="",H241&lt;&gt;""),"",G241-TODAY())</f>
        <v/>
      </c>
      <c r="K241" s="23">
        <f>IF(OR(F241="",H241=""),"",H241-F241)</f>
        <v/>
      </c>
      <c r="L241" s="19" t="n"/>
      <c r="M241" s="20" t="n"/>
    </row>
    <row r="242">
      <c r="A242" s="19" t="n"/>
      <c r="B242" s="20" t="n"/>
      <c r="C242" s="20" t="n"/>
      <c r="D242" s="20" t="n"/>
      <c r="E242" s="20" t="n"/>
      <c r="F242" s="21" t="n"/>
      <c r="G242" s="21" t="n"/>
      <c r="H242" s="21" t="n"/>
      <c r="I242" s="22">
        <f>IF(A242="","",IF(H242&lt;&gt;"","Complete",IF(G242="","Open",IF(G242&lt;TODAY(),"Overdue",IF(G242-TODAY()&lt;=3,"Due Soon","Open")))))</f>
        <v/>
      </c>
      <c r="J242" s="23">
        <f>IF(OR(A242="",G242="",H242&lt;&gt;""),"",G242-TODAY())</f>
        <v/>
      </c>
      <c r="K242" s="23">
        <f>IF(OR(F242="",H242=""),"",H242-F242)</f>
        <v/>
      </c>
      <c r="L242" s="19" t="n"/>
      <c r="M242" s="20" t="n"/>
    </row>
    <row r="243">
      <c r="A243" s="19" t="n"/>
      <c r="B243" s="20" t="n"/>
      <c r="C243" s="20" t="n"/>
      <c r="D243" s="20" t="n"/>
      <c r="E243" s="20" t="n"/>
      <c r="F243" s="21" t="n"/>
      <c r="G243" s="21" t="n"/>
      <c r="H243" s="21" t="n"/>
      <c r="I243" s="22">
        <f>IF(A243="","",IF(H243&lt;&gt;"","Complete",IF(G243="","Open",IF(G243&lt;TODAY(),"Overdue",IF(G243-TODAY()&lt;=3,"Due Soon","Open")))))</f>
        <v/>
      </c>
      <c r="J243" s="23">
        <f>IF(OR(A243="",G243="",H243&lt;&gt;""),"",G243-TODAY())</f>
        <v/>
      </c>
      <c r="K243" s="23">
        <f>IF(OR(F243="",H243=""),"",H243-F243)</f>
        <v/>
      </c>
      <c r="L243" s="19" t="n"/>
      <c r="M243" s="20" t="n"/>
    </row>
    <row r="244">
      <c r="A244" s="19" t="n"/>
      <c r="B244" s="20" t="n"/>
      <c r="C244" s="20" t="n"/>
      <c r="D244" s="20" t="n"/>
      <c r="E244" s="20" t="n"/>
      <c r="F244" s="21" t="n"/>
      <c r="G244" s="21" t="n"/>
      <c r="H244" s="21" t="n"/>
      <c r="I244" s="22">
        <f>IF(A244="","",IF(H244&lt;&gt;"","Complete",IF(G244="","Open",IF(G244&lt;TODAY(),"Overdue",IF(G244-TODAY()&lt;=3,"Due Soon","Open")))))</f>
        <v/>
      </c>
      <c r="J244" s="23">
        <f>IF(OR(A244="",G244="",H244&lt;&gt;""),"",G244-TODAY())</f>
        <v/>
      </c>
      <c r="K244" s="23">
        <f>IF(OR(F244="",H244=""),"",H244-F244)</f>
        <v/>
      </c>
      <c r="L244" s="19" t="n"/>
      <c r="M244" s="20" t="n"/>
    </row>
    <row r="245">
      <c r="A245" s="19" t="n"/>
      <c r="B245" s="20" t="n"/>
      <c r="C245" s="20" t="n"/>
      <c r="D245" s="20" t="n"/>
      <c r="E245" s="20" t="n"/>
      <c r="F245" s="21" t="n"/>
      <c r="G245" s="21" t="n"/>
      <c r="H245" s="21" t="n"/>
      <c r="I245" s="22">
        <f>IF(A245="","",IF(H245&lt;&gt;"","Complete",IF(G245="","Open",IF(G245&lt;TODAY(),"Overdue",IF(G245-TODAY()&lt;=3,"Due Soon","Open")))))</f>
        <v/>
      </c>
      <c r="J245" s="23">
        <f>IF(OR(A245="",G245="",H245&lt;&gt;""),"",G245-TODAY())</f>
        <v/>
      </c>
      <c r="K245" s="23">
        <f>IF(OR(F245="",H245=""),"",H245-F245)</f>
        <v/>
      </c>
      <c r="L245" s="19" t="n"/>
      <c r="M245" s="20" t="n"/>
    </row>
    <row r="246">
      <c r="A246" s="19" t="n"/>
      <c r="B246" s="20" t="n"/>
      <c r="C246" s="20" t="n"/>
      <c r="D246" s="20" t="n"/>
      <c r="E246" s="20" t="n"/>
      <c r="F246" s="21" t="n"/>
      <c r="G246" s="21" t="n"/>
      <c r="H246" s="21" t="n"/>
      <c r="I246" s="22">
        <f>IF(A246="","",IF(H246&lt;&gt;"","Complete",IF(G246="","Open",IF(G246&lt;TODAY(),"Overdue",IF(G246-TODAY()&lt;=3,"Due Soon","Open")))))</f>
        <v/>
      </c>
      <c r="J246" s="23">
        <f>IF(OR(A246="",G246="",H246&lt;&gt;""),"",G246-TODAY())</f>
        <v/>
      </c>
      <c r="K246" s="23">
        <f>IF(OR(F246="",H246=""),"",H246-F246)</f>
        <v/>
      </c>
      <c r="L246" s="19" t="n"/>
      <c r="M246" s="20" t="n"/>
    </row>
    <row r="247">
      <c r="A247" s="19" t="n"/>
      <c r="B247" s="20" t="n"/>
      <c r="C247" s="20" t="n"/>
      <c r="D247" s="20" t="n"/>
      <c r="E247" s="20" t="n"/>
      <c r="F247" s="21" t="n"/>
      <c r="G247" s="21" t="n"/>
      <c r="H247" s="21" t="n"/>
      <c r="I247" s="22">
        <f>IF(A247="","",IF(H247&lt;&gt;"","Complete",IF(G247="","Open",IF(G247&lt;TODAY(),"Overdue",IF(G247-TODAY()&lt;=3,"Due Soon","Open")))))</f>
        <v/>
      </c>
      <c r="J247" s="23">
        <f>IF(OR(A247="",G247="",H247&lt;&gt;""),"",G247-TODAY())</f>
        <v/>
      </c>
      <c r="K247" s="23">
        <f>IF(OR(F247="",H247=""),"",H247-F247)</f>
        <v/>
      </c>
      <c r="L247" s="19" t="n"/>
      <c r="M247" s="20" t="n"/>
    </row>
    <row r="248">
      <c r="A248" s="19" t="n"/>
      <c r="B248" s="20" t="n"/>
      <c r="C248" s="20" t="n"/>
      <c r="D248" s="20" t="n"/>
      <c r="E248" s="20" t="n"/>
      <c r="F248" s="21" t="n"/>
      <c r="G248" s="21" t="n"/>
      <c r="H248" s="21" t="n"/>
      <c r="I248" s="22">
        <f>IF(A248="","",IF(H248&lt;&gt;"","Complete",IF(G248="","Open",IF(G248&lt;TODAY(),"Overdue",IF(G248-TODAY()&lt;=3,"Due Soon","Open")))))</f>
        <v/>
      </c>
      <c r="J248" s="23">
        <f>IF(OR(A248="",G248="",H248&lt;&gt;""),"",G248-TODAY())</f>
        <v/>
      </c>
      <c r="K248" s="23">
        <f>IF(OR(F248="",H248=""),"",H248-F248)</f>
        <v/>
      </c>
      <c r="L248" s="19" t="n"/>
      <c r="M248" s="20" t="n"/>
    </row>
    <row r="249">
      <c r="A249" s="19" t="n"/>
      <c r="B249" s="20" t="n"/>
      <c r="C249" s="20" t="n"/>
      <c r="D249" s="20" t="n"/>
      <c r="E249" s="20" t="n"/>
      <c r="F249" s="21" t="n"/>
      <c r="G249" s="21" t="n"/>
      <c r="H249" s="21" t="n"/>
      <c r="I249" s="22">
        <f>IF(A249="","",IF(H249&lt;&gt;"","Complete",IF(G249="","Open",IF(G249&lt;TODAY(),"Overdue",IF(G249-TODAY()&lt;=3,"Due Soon","Open")))))</f>
        <v/>
      </c>
      <c r="J249" s="23">
        <f>IF(OR(A249="",G249="",H249&lt;&gt;""),"",G249-TODAY())</f>
        <v/>
      </c>
      <c r="K249" s="23">
        <f>IF(OR(F249="",H249=""),"",H249-F249)</f>
        <v/>
      </c>
      <c r="L249" s="19" t="n"/>
      <c r="M249" s="20" t="n"/>
    </row>
    <row r="250">
      <c r="A250" s="19" t="n"/>
      <c r="B250" s="20" t="n"/>
      <c r="C250" s="20" t="n"/>
      <c r="D250" s="20" t="n"/>
      <c r="E250" s="20" t="n"/>
      <c r="F250" s="21" t="n"/>
      <c r="G250" s="21" t="n"/>
      <c r="H250" s="21" t="n"/>
      <c r="I250" s="22">
        <f>IF(A250="","",IF(H250&lt;&gt;"","Complete",IF(G250="","Open",IF(G250&lt;TODAY(),"Overdue",IF(G250-TODAY()&lt;=3,"Due Soon","Open")))))</f>
        <v/>
      </c>
      <c r="J250" s="23">
        <f>IF(OR(A250="",G250="",H250&lt;&gt;""),"",G250-TODAY())</f>
        <v/>
      </c>
      <c r="K250" s="23">
        <f>IF(OR(F250="",H250=""),"",H250-F250)</f>
        <v/>
      </c>
      <c r="L250" s="19" t="n"/>
      <c r="M250" s="20" t="n"/>
    </row>
    <row r="251">
      <c r="A251" s="19" t="n"/>
      <c r="B251" s="20" t="n"/>
      <c r="C251" s="20" t="n"/>
      <c r="D251" s="20" t="n"/>
      <c r="E251" s="20" t="n"/>
      <c r="F251" s="21" t="n"/>
      <c r="G251" s="21" t="n"/>
      <c r="H251" s="21" t="n"/>
      <c r="I251" s="22">
        <f>IF(A251="","",IF(H251&lt;&gt;"","Complete",IF(G251="","Open",IF(G251&lt;TODAY(),"Overdue",IF(G251-TODAY()&lt;=3,"Due Soon","Open")))))</f>
        <v/>
      </c>
      <c r="J251" s="23">
        <f>IF(OR(A251="",G251="",H251&lt;&gt;""),"",G251-TODAY())</f>
        <v/>
      </c>
      <c r="K251" s="23">
        <f>IF(OR(F251="",H251=""),"",H251-F251)</f>
        <v/>
      </c>
      <c r="L251" s="19" t="n"/>
      <c r="M251" s="20" t="n"/>
    </row>
    <row r="252">
      <c r="A252" s="19" t="n"/>
      <c r="B252" s="20" t="n"/>
      <c r="C252" s="20" t="n"/>
      <c r="D252" s="20" t="n"/>
      <c r="E252" s="20" t="n"/>
      <c r="F252" s="21" t="n"/>
      <c r="G252" s="21" t="n"/>
      <c r="H252" s="21" t="n"/>
      <c r="I252" s="22">
        <f>IF(A252="","",IF(H252&lt;&gt;"","Complete",IF(G252="","Open",IF(G252&lt;TODAY(),"Overdue",IF(G252-TODAY()&lt;=3,"Due Soon","Open")))))</f>
        <v/>
      </c>
      <c r="J252" s="23">
        <f>IF(OR(A252="",G252="",H252&lt;&gt;""),"",G252-TODAY())</f>
        <v/>
      </c>
      <c r="K252" s="23">
        <f>IF(OR(F252="",H252=""),"",H252-F252)</f>
        <v/>
      </c>
      <c r="L252" s="19" t="n"/>
      <c r="M252" s="20" t="n"/>
    </row>
    <row r="253">
      <c r="A253" s="19" t="n"/>
      <c r="B253" s="20" t="n"/>
      <c r="C253" s="20" t="n"/>
      <c r="D253" s="20" t="n"/>
      <c r="E253" s="20" t="n"/>
      <c r="F253" s="21" t="n"/>
      <c r="G253" s="21" t="n"/>
      <c r="H253" s="21" t="n"/>
      <c r="I253" s="22">
        <f>IF(A253="","",IF(H253&lt;&gt;"","Complete",IF(G253="","Open",IF(G253&lt;TODAY(),"Overdue",IF(G253-TODAY()&lt;=3,"Due Soon","Open")))))</f>
        <v/>
      </c>
      <c r="J253" s="23">
        <f>IF(OR(A253="",G253="",H253&lt;&gt;""),"",G253-TODAY())</f>
        <v/>
      </c>
      <c r="K253" s="23">
        <f>IF(OR(F253="",H253=""),"",H253-F253)</f>
        <v/>
      </c>
      <c r="L253" s="19" t="n"/>
      <c r="M253" s="20" t="n"/>
    </row>
    <row r="254">
      <c r="A254" s="19" t="n"/>
      <c r="B254" s="20" t="n"/>
      <c r="C254" s="20" t="n"/>
      <c r="D254" s="20" t="n"/>
      <c r="E254" s="20" t="n"/>
      <c r="F254" s="21" t="n"/>
      <c r="G254" s="21" t="n"/>
      <c r="H254" s="21" t="n"/>
      <c r="I254" s="22">
        <f>IF(A254="","",IF(H254&lt;&gt;"","Complete",IF(G254="","Open",IF(G254&lt;TODAY(),"Overdue",IF(G254-TODAY()&lt;=3,"Due Soon","Open")))))</f>
        <v/>
      </c>
      <c r="J254" s="23">
        <f>IF(OR(A254="",G254="",H254&lt;&gt;""),"",G254-TODAY())</f>
        <v/>
      </c>
      <c r="K254" s="23">
        <f>IF(OR(F254="",H254=""),"",H254-F254)</f>
        <v/>
      </c>
      <c r="L254" s="19" t="n"/>
      <c r="M254" s="20" t="n"/>
    </row>
    <row r="255">
      <c r="A255" s="19" t="n"/>
      <c r="B255" s="20" t="n"/>
      <c r="C255" s="20" t="n"/>
      <c r="D255" s="20" t="n"/>
      <c r="E255" s="20" t="n"/>
      <c r="F255" s="21" t="n"/>
      <c r="G255" s="21" t="n"/>
      <c r="H255" s="21" t="n"/>
      <c r="I255" s="22">
        <f>IF(A255="","",IF(H255&lt;&gt;"","Complete",IF(G255="","Open",IF(G255&lt;TODAY(),"Overdue",IF(G255-TODAY()&lt;=3,"Due Soon","Open")))))</f>
        <v/>
      </c>
      <c r="J255" s="23">
        <f>IF(OR(A255="",G255="",H255&lt;&gt;""),"",G255-TODAY())</f>
        <v/>
      </c>
      <c r="K255" s="23">
        <f>IF(OR(F255="",H255=""),"",H255-F255)</f>
        <v/>
      </c>
      <c r="L255" s="19" t="n"/>
      <c r="M255" s="20" t="n"/>
    </row>
    <row r="256">
      <c r="A256" s="19" t="n"/>
      <c r="B256" s="20" t="n"/>
      <c r="C256" s="20" t="n"/>
      <c r="D256" s="20" t="n"/>
      <c r="E256" s="20" t="n"/>
      <c r="F256" s="21" t="n"/>
      <c r="G256" s="21" t="n"/>
      <c r="H256" s="21" t="n"/>
      <c r="I256" s="22">
        <f>IF(A256="","",IF(H256&lt;&gt;"","Complete",IF(G256="","Open",IF(G256&lt;TODAY(),"Overdue",IF(G256-TODAY()&lt;=3,"Due Soon","Open")))))</f>
        <v/>
      </c>
      <c r="J256" s="23">
        <f>IF(OR(A256="",G256="",H256&lt;&gt;""),"",G256-TODAY())</f>
        <v/>
      </c>
      <c r="K256" s="23">
        <f>IF(OR(F256="",H256=""),"",H256-F256)</f>
        <v/>
      </c>
      <c r="L256" s="19" t="n"/>
      <c r="M256" s="20" t="n"/>
    </row>
    <row r="257">
      <c r="A257" s="19" t="n"/>
      <c r="B257" s="20" t="n"/>
      <c r="C257" s="20" t="n"/>
      <c r="D257" s="20" t="n"/>
      <c r="E257" s="20" t="n"/>
      <c r="F257" s="21" t="n"/>
      <c r="G257" s="21" t="n"/>
      <c r="H257" s="21" t="n"/>
      <c r="I257" s="22">
        <f>IF(A257="","",IF(H257&lt;&gt;"","Complete",IF(G257="","Open",IF(G257&lt;TODAY(),"Overdue",IF(G257-TODAY()&lt;=3,"Due Soon","Open")))))</f>
        <v/>
      </c>
      <c r="J257" s="23">
        <f>IF(OR(A257="",G257="",H257&lt;&gt;""),"",G257-TODAY())</f>
        <v/>
      </c>
      <c r="K257" s="23">
        <f>IF(OR(F257="",H257=""),"",H257-F257)</f>
        <v/>
      </c>
      <c r="L257" s="19" t="n"/>
      <c r="M257" s="20" t="n"/>
    </row>
    <row r="258">
      <c r="A258" s="19" t="n"/>
      <c r="B258" s="20" t="n"/>
      <c r="C258" s="20" t="n"/>
      <c r="D258" s="20" t="n"/>
      <c r="E258" s="20" t="n"/>
      <c r="F258" s="21" t="n"/>
      <c r="G258" s="21" t="n"/>
      <c r="H258" s="21" t="n"/>
      <c r="I258" s="22">
        <f>IF(A258="","",IF(H258&lt;&gt;"","Complete",IF(G258="","Open",IF(G258&lt;TODAY(),"Overdue",IF(G258-TODAY()&lt;=3,"Due Soon","Open")))))</f>
        <v/>
      </c>
      <c r="J258" s="23">
        <f>IF(OR(A258="",G258="",H258&lt;&gt;""),"",G258-TODAY())</f>
        <v/>
      </c>
      <c r="K258" s="23">
        <f>IF(OR(F258="",H258=""),"",H258-F258)</f>
        <v/>
      </c>
      <c r="L258" s="19" t="n"/>
      <c r="M258" s="20" t="n"/>
    </row>
    <row r="259">
      <c r="A259" s="19" t="n"/>
      <c r="B259" s="20" t="n"/>
      <c r="C259" s="20" t="n"/>
      <c r="D259" s="20" t="n"/>
      <c r="E259" s="20" t="n"/>
      <c r="F259" s="21" t="n"/>
      <c r="G259" s="21" t="n"/>
      <c r="H259" s="21" t="n"/>
      <c r="I259" s="22">
        <f>IF(A259="","",IF(H259&lt;&gt;"","Complete",IF(G259="","Open",IF(G259&lt;TODAY(),"Overdue",IF(G259-TODAY()&lt;=3,"Due Soon","Open")))))</f>
        <v/>
      </c>
      <c r="J259" s="23">
        <f>IF(OR(A259="",G259="",H259&lt;&gt;""),"",G259-TODAY())</f>
        <v/>
      </c>
      <c r="K259" s="23">
        <f>IF(OR(F259="",H259=""),"",H259-F259)</f>
        <v/>
      </c>
      <c r="L259" s="19" t="n"/>
      <c r="M259" s="20" t="n"/>
    </row>
    <row r="260">
      <c r="A260" s="19" t="n"/>
      <c r="B260" s="20" t="n"/>
      <c r="C260" s="20" t="n"/>
      <c r="D260" s="20" t="n"/>
      <c r="E260" s="20" t="n"/>
      <c r="F260" s="21" t="n"/>
      <c r="G260" s="21" t="n"/>
      <c r="H260" s="21" t="n"/>
      <c r="I260" s="22">
        <f>IF(A260="","",IF(H260&lt;&gt;"","Complete",IF(G260="","Open",IF(G260&lt;TODAY(),"Overdue",IF(G260-TODAY()&lt;=3,"Due Soon","Open")))))</f>
        <v/>
      </c>
      <c r="J260" s="23">
        <f>IF(OR(A260="",G260="",H260&lt;&gt;""),"",G260-TODAY())</f>
        <v/>
      </c>
      <c r="K260" s="23">
        <f>IF(OR(F260="",H260=""),"",H260-F260)</f>
        <v/>
      </c>
      <c r="L260" s="19" t="n"/>
      <c r="M260" s="20" t="n"/>
    </row>
    <row r="261">
      <c r="A261" s="19" t="n"/>
      <c r="B261" s="20" t="n"/>
      <c r="C261" s="20" t="n"/>
      <c r="D261" s="20" t="n"/>
      <c r="E261" s="20" t="n"/>
      <c r="F261" s="21" t="n"/>
      <c r="G261" s="21" t="n"/>
      <c r="H261" s="21" t="n"/>
      <c r="I261" s="22">
        <f>IF(A261="","",IF(H261&lt;&gt;"","Complete",IF(G261="","Open",IF(G261&lt;TODAY(),"Overdue",IF(G261-TODAY()&lt;=3,"Due Soon","Open")))))</f>
        <v/>
      </c>
      <c r="J261" s="23">
        <f>IF(OR(A261="",G261="",H261&lt;&gt;""),"",G261-TODAY())</f>
        <v/>
      </c>
      <c r="K261" s="23">
        <f>IF(OR(F261="",H261=""),"",H261-F261)</f>
        <v/>
      </c>
      <c r="L261" s="19" t="n"/>
      <c r="M261" s="20" t="n"/>
    </row>
    <row r="262">
      <c r="A262" s="19" t="n"/>
      <c r="B262" s="20" t="n"/>
      <c r="C262" s="20" t="n"/>
      <c r="D262" s="20" t="n"/>
      <c r="E262" s="20" t="n"/>
      <c r="F262" s="21" t="n"/>
      <c r="G262" s="21" t="n"/>
      <c r="H262" s="21" t="n"/>
      <c r="I262" s="22">
        <f>IF(A262="","",IF(H262&lt;&gt;"","Complete",IF(G262="","Open",IF(G262&lt;TODAY(),"Overdue",IF(G262-TODAY()&lt;=3,"Due Soon","Open")))))</f>
        <v/>
      </c>
      <c r="J262" s="23">
        <f>IF(OR(A262="",G262="",H262&lt;&gt;""),"",G262-TODAY())</f>
        <v/>
      </c>
      <c r="K262" s="23">
        <f>IF(OR(F262="",H262=""),"",H262-F262)</f>
        <v/>
      </c>
      <c r="L262" s="19" t="n"/>
      <c r="M262" s="20" t="n"/>
    </row>
    <row r="263">
      <c r="A263" s="19" t="n"/>
      <c r="B263" s="20" t="n"/>
      <c r="C263" s="20" t="n"/>
      <c r="D263" s="20" t="n"/>
      <c r="E263" s="20" t="n"/>
      <c r="F263" s="21" t="n"/>
      <c r="G263" s="21" t="n"/>
      <c r="H263" s="21" t="n"/>
      <c r="I263" s="22">
        <f>IF(A263="","",IF(H263&lt;&gt;"","Complete",IF(G263="","Open",IF(G263&lt;TODAY(),"Overdue",IF(G263-TODAY()&lt;=3,"Due Soon","Open")))))</f>
        <v/>
      </c>
      <c r="J263" s="23">
        <f>IF(OR(A263="",G263="",H263&lt;&gt;""),"",G263-TODAY())</f>
        <v/>
      </c>
      <c r="K263" s="23">
        <f>IF(OR(F263="",H263=""),"",H263-F263)</f>
        <v/>
      </c>
      <c r="L263" s="19" t="n"/>
      <c r="M263" s="20" t="n"/>
    </row>
    <row r="264">
      <c r="A264" s="19" t="n"/>
      <c r="B264" s="20" t="n"/>
      <c r="C264" s="20" t="n"/>
      <c r="D264" s="20" t="n"/>
      <c r="E264" s="20" t="n"/>
      <c r="F264" s="21" t="n"/>
      <c r="G264" s="21" t="n"/>
      <c r="H264" s="21" t="n"/>
      <c r="I264" s="22">
        <f>IF(A264="","",IF(H264&lt;&gt;"","Complete",IF(G264="","Open",IF(G264&lt;TODAY(),"Overdue",IF(G264-TODAY()&lt;=3,"Due Soon","Open")))))</f>
        <v/>
      </c>
      <c r="J264" s="23">
        <f>IF(OR(A264="",G264="",H264&lt;&gt;""),"",G264-TODAY())</f>
        <v/>
      </c>
      <c r="K264" s="23">
        <f>IF(OR(F264="",H264=""),"",H264-F264)</f>
        <v/>
      </c>
      <c r="L264" s="19" t="n"/>
      <c r="M264" s="20" t="n"/>
    </row>
    <row r="265">
      <c r="A265" s="19" t="n"/>
      <c r="B265" s="20" t="n"/>
      <c r="C265" s="20" t="n"/>
      <c r="D265" s="20" t="n"/>
      <c r="E265" s="20" t="n"/>
      <c r="F265" s="21" t="n"/>
      <c r="G265" s="21" t="n"/>
      <c r="H265" s="21" t="n"/>
      <c r="I265" s="22">
        <f>IF(A265="","",IF(H265&lt;&gt;"","Complete",IF(G265="","Open",IF(G265&lt;TODAY(),"Overdue",IF(G265-TODAY()&lt;=3,"Due Soon","Open")))))</f>
        <v/>
      </c>
      <c r="J265" s="23">
        <f>IF(OR(A265="",G265="",H265&lt;&gt;""),"",G265-TODAY())</f>
        <v/>
      </c>
      <c r="K265" s="23">
        <f>IF(OR(F265="",H265=""),"",H265-F265)</f>
        <v/>
      </c>
      <c r="L265" s="19" t="n"/>
      <c r="M265" s="20" t="n"/>
    </row>
    <row r="266">
      <c r="A266" s="19" t="n"/>
      <c r="B266" s="20" t="n"/>
      <c r="C266" s="20" t="n"/>
      <c r="D266" s="20" t="n"/>
      <c r="E266" s="20" t="n"/>
      <c r="F266" s="21" t="n"/>
      <c r="G266" s="21" t="n"/>
      <c r="H266" s="21" t="n"/>
      <c r="I266" s="22">
        <f>IF(A266="","",IF(H266&lt;&gt;"","Complete",IF(G266="","Open",IF(G266&lt;TODAY(),"Overdue",IF(G266-TODAY()&lt;=3,"Due Soon","Open")))))</f>
        <v/>
      </c>
      <c r="J266" s="23">
        <f>IF(OR(A266="",G266="",H266&lt;&gt;""),"",G266-TODAY())</f>
        <v/>
      </c>
      <c r="K266" s="23">
        <f>IF(OR(F266="",H266=""),"",H266-F266)</f>
        <v/>
      </c>
      <c r="L266" s="19" t="n"/>
      <c r="M266" s="20" t="n"/>
    </row>
    <row r="267">
      <c r="A267" s="19" t="n"/>
      <c r="B267" s="20" t="n"/>
      <c r="C267" s="20" t="n"/>
      <c r="D267" s="20" t="n"/>
      <c r="E267" s="20" t="n"/>
      <c r="F267" s="21" t="n"/>
      <c r="G267" s="21" t="n"/>
      <c r="H267" s="21" t="n"/>
      <c r="I267" s="22">
        <f>IF(A267="","",IF(H267&lt;&gt;"","Complete",IF(G267="","Open",IF(G267&lt;TODAY(),"Overdue",IF(G267-TODAY()&lt;=3,"Due Soon","Open")))))</f>
        <v/>
      </c>
      <c r="J267" s="23">
        <f>IF(OR(A267="",G267="",H267&lt;&gt;""),"",G267-TODAY())</f>
        <v/>
      </c>
      <c r="K267" s="23">
        <f>IF(OR(F267="",H267=""),"",H267-F267)</f>
        <v/>
      </c>
      <c r="L267" s="19" t="n"/>
      <c r="M267" s="20" t="n"/>
    </row>
    <row r="268">
      <c r="A268" s="19" t="n"/>
      <c r="B268" s="20" t="n"/>
      <c r="C268" s="20" t="n"/>
      <c r="D268" s="20" t="n"/>
      <c r="E268" s="20" t="n"/>
      <c r="F268" s="21" t="n"/>
      <c r="G268" s="21" t="n"/>
      <c r="H268" s="21" t="n"/>
      <c r="I268" s="22">
        <f>IF(A268="","",IF(H268&lt;&gt;"","Complete",IF(G268="","Open",IF(G268&lt;TODAY(),"Overdue",IF(G268-TODAY()&lt;=3,"Due Soon","Open")))))</f>
        <v/>
      </c>
      <c r="J268" s="23">
        <f>IF(OR(A268="",G268="",H268&lt;&gt;""),"",G268-TODAY())</f>
        <v/>
      </c>
      <c r="K268" s="23">
        <f>IF(OR(F268="",H268=""),"",H268-F268)</f>
        <v/>
      </c>
      <c r="L268" s="19" t="n"/>
      <c r="M268" s="20" t="n"/>
    </row>
    <row r="269">
      <c r="A269" s="19" t="n"/>
      <c r="B269" s="20" t="n"/>
      <c r="C269" s="20" t="n"/>
      <c r="D269" s="20" t="n"/>
      <c r="E269" s="20" t="n"/>
      <c r="F269" s="21" t="n"/>
      <c r="G269" s="21" t="n"/>
      <c r="H269" s="21" t="n"/>
      <c r="I269" s="22">
        <f>IF(A269="","",IF(H269&lt;&gt;"","Complete",IF(G269="","Open",IF(G269&lt;TODAY(),"Overdue",IF(G269-TODAY()&lt;=3,"Due Soon","Open")))))</f>
        <v/>
      </c>
      <c r="J269" s="23">
        <f>IF(OR(A269="",G269="",H269&lt;&gt;""),"",G269-TODAY())</f>
        <v/>
      </c>
      <c r="K269" s="23">
        <f>IF(OR(F269="",H269=""),"",H269-F269)</f>
        <v/>
      </c>
      <c r="L269" s="19" t="n"/>
      <c r="M269" s="20" t="n"/>
    </row>
    <row r="270">
      <c r="A270" s="19" t="n"/>
      <c r="B270" s="20" t="n"/>
      <c r="C270" s="20" t="n"/>
      <c r="D270" s="20" t="n"/>
      <c r="E270" s="20" t="n"/>
      <c r="F270" s="21" t="n"/>
      <c r="G270" s="21" t="n"/>
      <c r="H270" s="21" t="n"/>
      <c r="I270" s="22">
        <f>IF(A270="","",IF(H270&lt;&gt;"","Complete",IF(G270="","Open",IF(G270&lt;TODAY(),"Overdue",IF(G270-TODAY()&lt;=3,"Due Soon","Open")))))</f>
        <v/>
      </c>
      <c r="J270" s="23">
        <f>IF(OR(A270="",G270="",H270&lt;&gt;""),"",G270-TODAY())</f>
        <v/>
      </c>
      <c r="K270" s="23">
        <f>IF(OR(F270="",H270=""),"",H270-F270)</f>
        <v/>
      </c>
      <c r="L270" s="19" t="n"/>
      <c r="M270" s="20" t="n"/>
    </row>
    <row r="271">
      <c r="A271" s="19" t="n"/>
      <c r="B271" s="20" t="n"/>
      <c r="C271" s="20" t="n"/>
      <c r="D271" s="20" t="n"/>
      <c r="E271" s="20" t="n"/>
      <c r="F271" s="21" t="n"/>
      <c r="G271" s="21" t="n"/>
      <c r="H271" s="21" t="n"/>
      <c r="I271" s="22">
        <f>IF(A271="","",IF(H271&lt;&gt;"","Complete",IF(G271="","Open",IF(G271&lt;TODAY(),"Overdue",IF(G271-TODAY()&lt;=3,"Due Soon","Open")))))</f>
        <v/>
      </c>
      <c r="J271" s="23">
        <f>IF(OR(A271="",G271="",H271&lt;&gt;""),"",G271-TODAY())</f>
        <v/>
      </c>
      <c r="K271" s="23">
        <f>IF(OR(F271="",H271=""),"",H271-F271)</f>
        <v/>
      </c>
      <c r="L271" s="19" t="n"/>
      <c r="M271" s="20" t="n"/>
    </row>
    <row r="272">
      <c r="A272" s="19" t="n"/>
      <c r="B272" s="20" t="n"/>
      <c r="C272" s="20" t="n"/>
      <c r="D272" s="20" t="n"/>
      <c r="E272" s="20" t="n"/>
      <c r="F272" s="21" t="n"/>
      <c r="G272" s="21" t="n"/>
      <c r="H272" s="21" t="n"/>
      <c r="I272" s="22">
        <f>IF(A272="","",IF(H272&lt;&gt;"","Complete",IF(G272="","Open",IF(G272&lt;TODAY(),"Overdue",IF(G272-TODAY()&lt;=3,"Due Soon","Open")))))</f>
        <v/>
      </c>
      <c r="J272" s="23">
        <f>IF(OR(A272="",G272="",H272&lt;&gt;""),"",G272-TODAY())</f>
        <v/>
      </c>
      <c r="K272" s="23">
        <f>IF(OR(F272="",H272=""),"",H272-F272)</f>
        <v/>
      </c>
      <c r="L272" s="19" t="n"/>
      <c r="M272" s="20" t="n"/>
    </row>
    <row r="273">
      <c r="A273" s="19" t="n"/>
      <c r="B273" s="20" t="n"/>
      <c r="C273" s="20" t="n"/>
      <c r="D273" s="20" t="n"/>
      <c r="E273" s="20" t="n"/>
      <c r="F273" s="21" t="n"/>
      <c r="G273" s="21" t="n"/>
      <c r="H273" s="21" t="n"/>
      <c r="I273" s="22">
        <f>IF(A273="","",IF(H273&lt;&gt;"","Complete",IF(G273="","Open",IF(G273&lt;TODAY(),"Overdue",IF(G273-TODAY()&lt;=3,"Due Soon","Open")))))</f>
        <v/>
      </c>
      <c r="J273" s="23">
        <f>IF(OR(A273="",G273="",H273&lt;&gt;""),"",G273-TODAY())</f>
        <v/>
      </c>
      <c r="K273" s="23">
        <f>IF(OR(F273="",H273=""),"",H273-F273)</f>
        <v/>
      </c>
      <c r="L273" s="19" t="n"/>
      <c r="M273" s="20" t="n"/>
    </row>
    <row r="274">
      <c r="A274" s="19" t="n"/>
      <c r="B274" s="20" t="n"/>
      <c r="C274" s="20" t="n"/>
      <c r="D274" s="20" t="n"/>
      <c r="E274" s="20" t="n"/>
      <c r="F274" s="21" t="n"/>
      <c r="G274" s="21" t="n"/>
      <c r="H274" s="21" t="n"/>
      <c r="I274" s="22">
        <f>IF(A274="","",IF(H274&lt;&gt;"","Complete",IF(G274="","Open",IF(G274&lt;TODAY(),"Overdue",IF(G274-TODAY()&lt;=3,"Due Soon","Open")))))</f>
        <v/>
      </c>
      <c r="J274" s="23">
        <f>IF(OR(A274="",G274="",H274&lt;&gt;""),"",G274-TODAY())</f>
        <v/>
      </c>
      <c r="K274" s="23">
        <f>IF(OR(F274="",H274=""),"",H274-F274)</f>
        <v/>
      </c>
      <c r="L274" s="19" t="n"/>
      <c r="M274" s="20" t="n"/>
    </row>
    <row r="275">
      <c r="A275" s="19" t="n"/>
      <c r="B275" s="20" t="n"/>
      <c r="C275" s="20" t="n"/>
      <c r="D275" s="20" t="n"/>
      <c r="E275" s="20" t="n"/>
      <c r="F275" s="21" t="n"/>
      <c r="G275" s="21" t="n"/>
      <c r="H275" s="21" t="n"/>
      <c r="I275" s="22">
        <f>IF(A275="","",IF(H275&lt;&gt;"","Complete",IF(G275="","Open",IF(G275&lt;TODAY(),"Overdue",IF(G275-TODAY()&lt;=3,"Due Soon","Open")))))</f>
        <v/>
      </c>
      <c r="J275" s="23">
        <f>IF(OR(A275="",G275="",H275&lt;&gt;""),"",G275-TODAY())</f>
        <v/>
      </c>
      <c r="K275" s="23">
        <f>IF(OR(F275="",H275=""),"",H275-F275)</f>
        <v/>
      </c>
      <c r="L275" s="19" t="n"/>
      <c r="M275" s="20" t="n"/>
    </row>
    <row r="276">
      <c r="A276" s="19" t="n"/>
      <c r="B276" s="20" t="n"/>
      <c r="C276" s="20" t="n"/>
      <c r="D276" s="20" t="n"/>
      <c r="E276" s="20" t="n"/>
      <c r="F276" s="21" t="n"/>
      <c r="G276" s="21" t="n"/>
      <c r="H276" s="21" t="n"/>
      <c r="I276" s="22">
        <f>IF(A276="","",IF(H276&lt;&gt;"","Complete",IF(G276="","Open",IF(G276&lt;TODAY(),"Overdue",IF(G276-TODAY()&lt;=3,"Due Soon","Open")))))</f>
        <v/>
      </c>
      <c r="J276" s="23">
        <f>IF(OR(A276="",G276="",H276&lt;&gt;""),"",G276-TODAY())</f>
        <v/>
      </c>
      <c r="K276" s="23">
        <f>IF(OR(F276="",H276=""),"",H276-F276)</f>
        <v/>
      </c>
      <c r="L276" s="19" t="n"/>
      <c r="M276" s="20" t="n"/>
    </row>
    <row r="277">
      <c r="A277" s="19" t="n"/>
      <c r="B277" s="20" t="n"/>
      <c r="C277" s="20" t="n"/>
      <c r="D277" s="20" t="n"/>
      <c r="E277" s="20" t="n"/>
      <c r="F277" s="21" t="n"/>
      <c r="G277" s="21" t="n"/>
      <c r="H277" s="21" t="n"/>
      <c r="I277" s="22">
        <f>IF(A277="","",IF(H277&lt;&gt;"","Complete",IF(G277="","Open",IF(G277&lt;TODAY(),"Overdue",IF(G277-TODAY()&lt;=3,"Due Soon","Open")))))</f>
        <v/>
      </c>
      <c r="J277" s="23">
        <f>IF(OR(A277="",G277="",H277&lt;&gt;""),"",G277-TODAY())</f>
        <v/>
      </c>
      <c r="K277" s="23">
        <f>IF(OR(F277="",H277=""),"",H277-F277)</f>
        <v/>
      </c>
      <c r="L277" s="19" t="n"/>
      <c r="M277" s="20" t="n"/>
    </row>
    <row r="278">
      <c r="A278" s="19" t="n"/>
      <c r="B278" s="20" t="n"/>
      <c r="C278" s="20" t="n"/>
      <c r="D278" s="20" t="n"/>
      <c r="E278" s="20" t="n"/>
      <c r="F278" s="21" t="n"/>
      <c r="G278" s="21" t="n"/>
      <c r="H278" s="21" t="n"/>
      <c r="I278" s="22">
        <f>IF(A278="","",IF(H278&lt;&gt;"","Complete",IF(G278="","Open",IF(G278&lt;TODAY(),"Overdue",IF(G278-TODAY()&lt;=3,"Due Soon","Open")))))</f>
        <v/>
      </c>
      <c r="J278" s="23">
        <f>IF(OR(A278="",G278="",H278&lt;&gt;""),"",G278-TODAY())</f>
        <v/>
      </c>
      <c r="K278" s="23">
        <f>IF(OR(F278="",H278=""),"",H278-F278)</f>
        <v/>
      </c>
      <c r="L278" s="19" t="n"/>
      <c r="M278" s="20" t="n"/>
    </row>
    <row r="279">
      <c r="A279" s="19" t="n"/>
      <c r="B279" s="20" t="n"/>
      <c r="C279" s="20" t="n"/>
      <c r="D279" s="20" t="n"/>
      <c r="E279" s="20" t="n"/>
      <c r="F279" s="21" t="n"/>
      <c r="G279" s="21" t="n"/>
      <c r="H279" s="21" t="n"/>
      <c r="I279" s="22">
        <f>IF(A279="","",IF(H279&lt;&gt;"","Complete",IF(G279="","Open",IF(G279&lt;TODAY(),"Overdue",IF(G279-TODAY()&lt;=3,"Due Soon","Open")))))</f>
        <v/>
      </c>
      <c r="J279" s="23">
        <f>IF(OR(A279="",G279="",H279&lt;&gt;""),"",G279-TODAY())</f>
        <v/>
      </c>
      <c r="K279" s="23">
        <f>IF(OR(F279="",H279=""),"",H279-F279)</f>
        <v/>
      </c>
      <c r="L279" s="19" t="n"/>
      <c r="M279" s="20" t="n"/>
    </row>
    <row r="280">
      <c r="A280" s="19" t="n"/>
      <c r="B280" s="20" t="n"/>
      <c r="C280" s="20" t="n"/>
      <c r="D280" s="20" t="n"/>
      <c r="E280" s="20" t="n"/>
      <c r="F280" s="21" t="n"/>
      <c r="G280" s="21" t="n"/>
      <c r="H280" s="21" t="n"/>
      <c r="I280" s="22">
        <f>IF(A280="","",IF(H280&lt;&gt;"","Complete",IF(G280="","Open",IF(G280&lt;TODAY(),"Overdue",IF(G280-TODAY()&lt;=3,"Due Soon","Open")))))</f>
        <v/>
      </c>
      <c r="J280" s="23">
        <f>IF(OR(A280="",G280="",H280&lt;&gt;""),"",G280-TODAY())</f>
        <v/>
      </c>
      <c r="K280" s="23">
        <f>IF(OR(F280="",H280=""),"",H280-F280)</f>
        <v/>
      </c>
      <c r="L280" s="19" t="n"/>
      <c r="M280" s="20" t="n"/>
    </row>
    <row r="281">
      <c r="A281" s="19" t="n"/>
      <c r="B281" s="20" t="n"/>
      <c r="C281" s="20" t="n"/>
      <c r="D281" s="20" t="n"/>
      <c r="E281" s="20" t="n"/>
      <c r="F281" s="21" t="n"/>
      <c r="G281" s="21" t="n"/>
      <c r="H281" s="21" t="n"/>
      <c r="I281" s="22">
        <f>IF(A281="","",IF(H281&lt;&gt;"","Complete",IF(G281="","Open",IF(G281&lt;TODAY(),"Overdue",IF(G281-TODAY()&lt;=3,"Due Soon","Open")))))</f>
        <v/>
      </c>
      <c r="J281" s="23">
        <f>IF(OR(A281="",G281="",H281&lt;&gt;""),"",G281-TODAY())</f>
        <v/>
      </c>
      <c r="K281" s="23">
        <f>IF(OR(F281="",H281=""),"",H281-F281)</f>
        <v/>
      </c>
      <c r="L281" s="19" t="n"/>
      <c r="M281" s="20" t="n"/>
    </row>
    <row r="282">
      <c r="A282" s="19" t="n"/>
      <c r="B282" s="20" t="n"/>
      <c r="C282" s="20" t="n"/>
      <c r="D282" s="20" t="n"/>
      <c r="E282" s="20" t="n"/>
      <c r="F282" s="21" t="n"/>
      <c r="G282" s="21" t="n"/>
      <c r="H282" s="21" t="n"/>
      <c r="I282" s="22">
        <f>IF(A282="","",IF(H282&lt;&gt;"","Complete",IF(G282="","Open",IF(G282&lt;TODAY(),"Overdue",IF(G282-TODAY()&lt;=3,"Due Soon","Open")))))</f>
        <v/>
      </c>
      <c r="J282" s="23">
        <f>IF(OR(A282="",G282="",H282&lt;&gt;""),"",G282-TODAY())</f>
        <v/>
      </c>
      <c r="K282" s="23">
        <f>IF(OR(F282="",H282=""),"",H282-F282)</f>
        <v/>
      </c>
      <c r="L282" s="19" t="n"/>
      <c r="M282" s="20" t="n"/>
    </row>
    <row r="283">
      <c r="A283" s="19" t="n"/>
      <c r="B283" s="20" t="n"/>
      <c r="C283" s="20" t="n"/>
      <c r="D283" s="20" t="n"/>
      <c r="E283" s="20" t="n"/>
      <c r="F283" s="21" t="n"/>
      <c r="G283" s="21" t="n"/>
      <c r="H283" s="21" t="n"/>
      <c r="I283" s="22">
        <f>IF(A283="","",IF(H283&lt;&gt;"","Complete",IF(G283="","Open",IF(G283&lt;TODAY(),"Overdue",IF(G283-TODAY()&lt;=3,"Due Soon","Open")))))</f>
        <v/>
      </c>
      <c r="J283" s="23">
        <f>IF(OR(A283="",G283="",H283&lt;&gt;""),"",G283-TODAY())</f>
        <v/>
      </c>
      <c r="K283" s="23">
        <f>IF(OR(F283="",H283=""),"",H283-F283)</f>
        <v/>
      </c>
      <c r="L283" s="19" t="n"/>
      <c r="M283" s="20" t="n"/>
    </row>
    <row r="284">
      <c r="A284" s="19" t="n"/>
      <c r="B284" s="20" t="n"/>
      <c r="C284" s="20" t="n"/>
      <c r="D284" s="20" t="n"/>
      <c r="E284" s="20" t="n"/>
      <c r="F284" s="21" t="n"/>
      <c r="G284" s="21" t="n"/>
      <c r="H284" s="21" t="n"/>
      <c r="I284" s="22">
        <f>IF(A284="","",IF(H284&lt;&gt;"","Complete",IF(G284="","Open",IF(G284&lt;TODAY(),"Overdue",IF(G284-TODAY()&lt;=3,"Due Soon","Open")))))</f>
        <v/>
      </c>
      <c r="J284" s="23">
        <f>IF(OR(A284="",G284="",H284&lt;&gt;""),"",G284-TODAY())</f>
        <v/>
      </c>
      <c r="K284" s="23">
        <f>IF(OR(F284="",H284=""),"",H284-F284)</f>
        <v/>
      </c>
      <c r="L284" s="19" t="n"/>
      <c r="M284" s="20" t="n"/>
    </row>
    <row r="285">
      <c r="A285" s="19" t="n"/>
      <c r="B285" s="20" t="n"/>
      <c r="C285" s="20" t="n"/>
      <c r="D285" s="20" t="n"/>
      <c r="E285" s="20" t="n"/>
      <c r="F285" s="21" t="n"/>
      <c r="G285" s="21" t="n"/>
      <c r="H285" s="21" t="n"/>
      <c r="I285" s="22">
        <f>IF(A285="","",IF(H285&lt;&gt;"","Complete",IF(G285="","Open",IF(G285&lt;TODAY(),"Overdue",IF(G285-TODAY()&lt;=3,"Due Soon","Open")))))</f>
        <v/>
      </c>
      <c r="J285" s="23">
        <f>IF(OR(A285="",G285="",H285&lt;&gt;""),"",G285-TODAY())</f>
        <v/>
      </c>
      <c r="K285" s="23">
        <f>IF(OR(F285="",H285=""),"",H285-F285)</f>
        <v/>
      </c>
      <c r="L285" s="19" t="n"/>
      <c r="M285" s="20" t="n"/>
    </row>
    <row r="286">
      <c r="A286" s="19" t="n"/>
      <c r="B286" s="20" t="n"/>
      <c r="C286" s="20" t="n"/>
      <c r="D286" s="20" t="n"/>
      <c r="E286" s="20" t="n"/>
      <c r="F286" s="21" t="n"/>
      <c r="G286" s="21" t="n"/>
      <c r="H286" s="21" t="n"/>
      <c r="I286" s="22">
        <f>IF(A286="","",IF(H286&lt;&gt;"","Complete",IF(G286="","Open",IF(G286&lt;TODAY(),"Overdue",IF(G286-TODAY()&lt;=3,"Due Soon","Open")))))</f>
        <v/>
      </c>
      <c r="J286" s="23">
        <f>IF(OR(A286="",G286="",H286&lt;&gt;""),"",G286-TODAY())</f>
        <v/>
      </c>
      <c r="K286" s="23">
        <f>IF(OR(F286="",H286=""),"",H286-F286)</f>
        <v/>
      </c>
      <c r="L286" s="19" t="n"/>
      <c r="M286" s="20" t="n"/>
    </row>
    <row r="287">
      <c r="A287" s="19" t="n"/>
      <c r="B287" s="20" t="n"/>
      <c r="C287" s="20" t="n"/>
      <c r="D287" s="20" t="n"/>
      <c r="E287" s="20" t="n"/>
      <c r="F287" s="21" t="n"/>
      <c r="G287" s="21" t="n"/>
      <c r="H287" s="21" t="n"/>
      <c r="I287" s="22">
        <f>IF(A287="","",IF(H287&lt;&gt;"","Complete",IF(G287="","Open",IF(G287&lt;TODAY(),"Overdue",IF(G287-TODAY()&lt;=3,"Due Soon","Open")))))</f>
        <v/>
      </c>
      <c r="J287" s="23">
        <f>IF(OR(A287="",G287="",H287&lt;&gt;""),"",G287-TODAY())</f>
        <v/>
      </c>
      <c r="K287" s="23">
        <f>IF(OR(F287="",H287=""),"",H287-F287)</f>
        <v/>
      </c>
      <c r="L287" s="19" t="n"/>
      <c r="M287" s="20" t="n"/>
    </row>
    <row r="288">
      <c r="A288" s="19" t="n"/>
      <c r="B288" s="20" t="n"/>
      <c r="C288" s="20" t="n"/>
      <c r="D288" s="20" t="n"/>
      <c r="E288" s="20" t="n"/>
      <c r="F288" s="21" t="n"/>
      <c r="G288" s="21" t="n"/>
      <c r="H288" s="21" t="n"/>
      <c r="I288" s="22">
        <f>IF(A288="","",IF(H288&lt;&gt;"","Complete",IF(G288="","Open",IF(G288&lt;TODAY(),"Overdue",IF(G288-TODAY()&lt;=3,"Due Soon","Open")))))</f>
        <v/>
      </c>
      <c r="J288" s="23">
        <f>IF(OR(A288="",G288="",H288&lt;&gt;""),"",G288-TODAY())</f>
        <v/>
      </c>
      <c r="K288" s="23">
        <f>IF(OR(F288="",H288=""),"",H288-F288)</f>
        <v/>
      </c>
      <c r="L288" s="19" t="n"/>
      <c r="M288" s="20" t="n"/>
    </row>
    <row r="289">
      <c r="A289" s="19" t="n"/>
      <c r="B289" s="20" t="n"/>
      <c r="C289" s="20" t="n"/>
      <c r="D289" s="20" t="n"/>
      <c r="E289" s="20" t="n"/>
      <c r="F289" s="21" t="n"/>
      <c r="G289" s="21" t="n"/>
      <c r="H289" s="21" t="n"/>
      <c r="I289" s="22">
        <f>IF(A289="","",IF(H289&lt;&gt;"","Complete",IF(G289="","Open",IF(G289&lt;TODAY(),"Overdue",IF(G289-TODAY()&lt;=3,"Due Soon","Open")))))</f>
        <v/>
      </c>
      <c r="J289" s="23">
        <f>IF(OR(A289="",G289="",H289&lt;&gt;""),"",G289-TODAY())</f>
        <v/>
      </c>
      <c r="K289" s="23">
        <f>IF(OR(F289="",H289=""),"",H289-F289)</f>
        <v/>
      </c>
      <c r="L289" s="19" t="n"/>
      <c r="M289" s="20" t="n"/>
    </row>
    <row r="290">
      <c r="A290" s="19" t="n"/>
      <c r="B290" s="20" t="n"/>
      <c r="C290" s="20" t="n"/>
      <c r="D290" s="20" t="n"/>
      <c r="E290" s="20" t="n"/>
      <c r="F290" s="21" t="n"/>
      <c r="G290" s="21" t="n"/>
      <c r="H290" s="21" t="n"/>
      <c r="I290" s="22">
        <f>IF(A290="","",IF(H290&lt;&gt;"","Complete",IF(G290="","Open",IF(G290&lt;TODAY(),"Overdue",IF(G290-TODAY()&lt;=3,"Due Soon","Open")))))</f>
        <v/>
      </c>
      <c r="J290" s="23">
        <f>IF(OR(A290="",G290="",H290&lt;&gt;""),"",G290-TODAY())</f>
        <v/>
      </c>
      <c r="K290" s="23">
        <f>IF(OR(F290="",H290=""),"",H290-F290)</f>
        <v/>
      </c>
      <c r="L290" s="19" t="n"/>
      <c r="M290" s="20" t="n"/>
    </row>
    <row r="291">
      <c r="A291" s="19" t="n"/>
      <c r="B291" s="20" t="n"/>
      <c r="C291" s="20" t="n"/>
      <c r="D291" s="20" t="n"/>
      <c r="E291" s="20" t="n"/>
      <c r="F291" s="21" t="n"/>
      <c r="G291" s="21" t="n"/>
      <c r="H291" s="21" t="n"/>
      <c r="I291" s="22">
        <f>IF(A291="","",IF(H291&lt;&gt;"","Complete",IF(G291="","Open",IF(G291&lt;TODAY(),"Overdue",IF(G291-TODAY()&lt;=3,"Due Soon","Open")))))</f>
        <v/>
      </c>
      <c r="J291" s="23">
        <f>IF(OR(A291="",G291="",H291&lt;&gt;""),"",G291-TODAY())</f>
        <v/>
      </c>
      <c r="K291" s="23">
        <f>IF(OR(F291="",H291=""),"",H291-F291)</f>
        <v/>
      </c>
      <c r="L291" s="19" t="n"/>
      <c r="M291" s="20" t="n"/>
    </row>
    <row r="292">
      <c r="A292" s="19" t="n"/>
      <c r="B292" s="20" t="n"/>
      <c r="C292" s="20" t="n"/>
      <c r="D292" s="20" t="n"/>
      <c r="E292" s="20" t="n"/>
      <c r="F292" s="21" t="n"/>
      <c r="G292" s="21" t="n"/>
      <c r="H292" s="21" t="n"/>
      <c r="I292" s="22">
        <f>IF(A292="","",IF(H292&lt;&gt;"","Complete",IF(G292="","Open",IF(G292&lt;TODAY(),"Overdue",IF(G292-TODAY()&lt;=3,"Due Soon","Open")))))</f>
        <v/>
      </c>
      <c r="J292" s="23">
        <f>IF(OR(A292="",G292="",H292&lt;&gt;""),"",G292-TODAY())</f>
        <v/>
      </c>
      <c r="K292" s="23">
        <f>IF(OR(F292="",H292=""),"",H292-F292)</f>
        <v/>
      </c>
      <c r="L292" s="19" t="n"/>
      <c r="M292" s="20" t="n"/>
    </row>
    <row r="293">
      <c r="A293" s="19" t="n"/>
      <c r="B293" s="20" t="n"/>
      <c r="C293" s="20" t="n"/>
      <c r="D293" s="20" t="n"/>
      <c r="E293" s="20" t="n"/>
      <c r="F293" s="21" t="n"/>
      <c r="G293" s="21" t="n"/>
      <c r="H293" s="21" t="n"/>
      <c r="I293" s="22">
        <f>IF(A293="","",IF(H293&lt;&gt;"","Complete",IF(G293="","Open",IF(G293&lt;TODAY(),"Overdue",IF(G293-TODAY()&lt;=3,"Due Soon","Open")))))</f>
        <v/>
      </c>
      <c r="J293" s="23">
        <f>IF(OR(A293="",G293="",H293&lt;&gt;""),"",G293-TODAY())</f>
        <v/>
      </c>
      <c r="K293" s="23">
        <f>IF(OR(F293="",H293=""),"",H293-F293)</f>
        <v/>
      </c>
      <c r="L293" s="19" t="n"/>
      <c r="M293" s="20" t="n"/>
    </row>
    <row r="294">
      <c r="A294" s="19" t="n"/>
      <c r="B294" s="20" t="n"/>
      <c r="C294" s="20" t="n"/>
      <c r="D294" s="20" t="n"/>
      <c r="E294" s="20" t="n"/>
      <c r="F294" s="21" t="n"/>
      <c r="G294" s="21" t="n"/>
      <c r="H294" s="21" t="n"/>
      <c r="I294" s="22">
        <f>IF(A294="","",IF(H294&lt;&gt;"","Complete",IF(G294="","Open",IF(G294&lt;TODAY(),"Overdue",IF(G294-TODAY()&lt;=3,"Due Soon","Open")))))</f>
        <v/>
      </c>
      <c r="J294" s="23">
        <f>IF(OR(A294="",G294="",H294&lt;&gt;""),"",G294-TODAY())</f>
        <v/>
      </c>
      <c r="K294" s="23">
        <f>IF(OR(F294="",H294=""),"",H294-F294)</f>
        <v/>
      </c>
      <c r="L294" s="19" t="n"/>
      <c r="M294" s="20" t="n"/>
    </row>
    <row r="295">
      <c r="A295" s="19" t="n"/>
      <c r="B295" s="20" t="n"/>
      <c r="C295" s="20" t="n"/>
      <c r="D295" s="20" t="n"/>
      <c r="E295" s="20" t="n"/>
      <c r="F295" s="21" t="n"/>
      <c r="G295" s="21" t="n"/>
      <c r="H295" s="21" t="n"/>
      <c r="I295" s="22">
        <f>IF(A295="","",IF(H295&lt;&gt;"","Complete",IF(G295="","Open",IF(G295&lt;TODAY(),"Overdue",IF(G295-TODAY()&lt;=3,"Due Soon","Open")))))</f>
        <v/>
      </c>
      <c r="J295" s="23">
        <f>IF(OR(A295="",G295="",H295&lt;&gt;""),"",G295-TODAY())</f>
        <v/>
      </c>
      <c r="K295" s="23">
        <f>IF(OR(F295="",H295=""),"",H295-F295)</f>
        <v/>
      </c>
      <c r="L295" s="19" t="n"/>
      <c r="M295" s="20" t="n"/>
    </row>
    <row r="296">
      <c r="A296" s="19" t="n"/>
      <c r="B296" s="20" t="n"/>
      <c r="C296" s="20" t="n"/>
      <c r="D296" s="20" t="n"/>
      <c r="E296" s="20" t="n"/>
      <c r="F296" s="21" t="n"/>
      <c r="G296" s="21" t="n"/>
      <c r="H296" s="21" t="n"/>
      <c r="I296" s="22">
        <f>IF(A296="","",IF(H296&lt;&gt;"","Complete",IF(G296="","Open",IF(G296&lt;TODAY(),"Overdue",IF(G296-TODAY()&lt;=3,"Due Soon","Open")))))</f>
        <v/>
      </c>
      <c r="J296" s="23">
        <f>IF(OR(A296="",G296="",H296&lt;&gt;""),"",G296-TODAY())</f>
        <v/>
      </c>
      <c r="K296" s="23">
        <f>IF(OR(F296="",H296=""),"",H296-F296)</f>
        <v/>
      </c>
      <c r="L296" s="19" t="n"/>
      <c r="M296" s="20" t="n"/>
    </row>
    <row r="297">
      <c r="A297" s="19" t="n"/>
      <c r="B297" s="20" t="n"/>
      <c r="C297" s="20" t="n"/>
      <c r="D297" s="20" t="n"/>
      <c r="E297" s="20" t="n"/>
      <c r="F297" s="21" t="n"/>
      <c r="G297" s="21" t="n"/>
      <c r="H297" s="21" t="n"/>
      <c r="I297" s="22">
        <f>IF(A297="","",IF(H297&lt;&gt;"","Complete",IF(G297="","Open",IF(G297&lt;TODAY(),"Overdue",IF(G297-TODAY()&lt;=3,"Due Soon","Open")))))</f>
        <v/>
      </c>
      <c r="J297" s="23">
        <f>IF(OR(A297="",G297="",H297&lt;&gt;""),"",G297-TODAY())</f>
        <v/>
      </c>
      <c r="K297" s="23">
        <f>IF(OR(F297="",H297=""),"",H297-F297)</f>
        <v/>
      </c>
      <c r="L297" s="19" t="n"/>
      <c r="M297" s="20" t="n"/>
    </row>
    <row r="298">
      <c r="A298" s="19" t="n"/>
      <c r="B298" s="20" t="n"/>
      <c r="C298" s="20" t="n"/>
      <c r="D298" s="20" t="n"/>
      <c r="E298" s="20" t="n"/>
      <c r="F298" s="21" t="n"/>
      <c r="G298" s="21" t="n"/>
      <c r="H298" s="21" t="n"/>
      <c r="I298" s="22">
        <f>IF(A298="","",IF(H298&lt;&gt;"","Complete",IF(G298="","Open",IF(G298&lt;TODAY(),"Overdue",IF(G298-TODAY()&lt;=3,"Due Soon","Open")))))</f>
        <v/>
      </c>
      <c r="J298" s="23">
        <f>IF(OR(A298="",G298="",H298&lt;&gt;""),"",G298-TODAY())</f>
        <v/>
      </c>
      <c r="K298" s="23">
        <f>IF(OR(F298="",H298=""),"",H298-F298)</f>
        <v/>
      </c>
      <c r="L298" s="19" t="n"/>
      <c r="M298" s="20" t="n"/>
    </row>
    <row r="299">
      <c r="A299" s="19" t="n"/>
      <c r="B299" s="20" t="n"/>
      <c r="C299" s="20" t="n"/>
      <c r="D299" s="20" t="n"/>
      <c r="E299" s="20" t="n"/>
      <c r="F299" s="21" t="n"/>
      <c r="G299" s="21" t="n"/>
      <c r="H299" s="21" t="n"/>
      <c r="I299" s="22">
        <f>IF(A299="","",IF(H299&lt;&gt;"","Complete",IF(G299="","Open",IF(G299&lt;TODAY(),"Overdue",IF(G299-TODAY()&lt;=3,"Due Soon","Open")))))</f>
        <v/>
      </c>
      <c r="J299" s="23">
        <f>IF(OR(A299="",G299="",H299&lt;&gt;""),"",G299-TODAY())</f>
        <v/>
      </c>
      <c r="K299" s="23">
        <f>IF(OR(F299="",H299=""),"",H299-F299)</f>
        <v/>
      </c>
      <c r="L299" s="19" t="n"/>
      <c r="M299" s="20" t="n"/>
    </row>
    <row r="300">
      <c r="A300" s="19" t="n"/>
      <c r="B300" s="20" t="n"/>
      <c r="C300" s="20" t="n"/>
      <c r="D300" s="20" t="n"/>
      <c r="E300" s="20" t="n"/>
      <c r="F300" s="21" t="n"/>
      <c r="G300" s="21" t="n"/>
      <c r="H300" s="21" t="n"/>
      <c r="I300" s="22">
        <f>IF(A300="","",IF(H300&lt;&gt;"","Complete",IF(G300="","Open",IF(G300&lt;TODAY(),"Overdue",IF(G300-TODAY()&lt;=3,"Due Soon","Open")))))</f>
        <v/>
      </c>
      <c r="J300" s="23">
        <f>IF(OR(A300="",G300="",H300&lt;&gt;""),"",G300-TODAY())</f>
        <v/>
      </c>
      <c r="K300" s="23">
        <f>IF(OR(F300="",H300=""),"",H300-F300)</f>
        <v/>
      </c>
      <c r="L300" s="19" t="n"/>
      <c r="M300" s="20" t="n"/>
    </row>
  </sheetData>
  <autoFilter ref="A1:M300"/>
  <conditionalFormatting sqref="I2:I300">
    <cfRule type="expression" priority="1" dxfId="0">
      <formula>$I2="Overdue"</formula>
    </cfRule>
    <cfRule type="expression" priority="2" dxfId="1">
      <formula>$I2="Due Soon"</formula>
    </cfRule>
    <cfRule type="expression" priority="3" dxfId="2">
      <formula>$I2="Complete"</formula>
    </cfRule>
    <cfRule type="expression" priority="4" dxfId="3">
      <formula>$I2="Open"</formula>
    </cfRule>
  </conditionalFormatting>
  <dataValidations count="3">
    <dataValidation sqref="D2:D300" showDropDown="0" showInputMessage="0" showErrorMessage="0" allowBlank="1" type="list">
      <formula1>=Lists!$A$2:$A$10</formula1>
    </dataValidation>
    <dataValidation sqref="E2:E300" showDropDown="0" showInputMessage="0" showErrorMessage="0" allowBlank="1" type="list">
      <formula1>=Lists!$B$2:$B$10</formula1>
    </dataValidation>
    <dataValidation sqref="F2:H300" showDropDown="0" showInputMessage="0" showErrorMessage="1" allowBlank="1" errorTitle="Date needed" error="Please type a date like 9/25/2026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4" t="inlineStr">
        <is>
          <t>Job Types</t>
        </is>
      </c>
      <c r="B1" s="24" t="inlineStr">
        <is>
          <t>Crews / Techs</t>
        </is>
      </c>
    </row>
    <row r="2">
      <c r="A2" s="25" t="inlineStr">
        <is>
          <t>Fusion Splice</t>
        </is>
      </c>
      <c r="B2" s="25" t="inlineStr">
        <is>
          <t>Crew A</t>
        </is>
      </c>
      <c r="D2" s="8" t="inlineStr">
        <is>
          <t>Edit these lists to change the dropdown choices on the Jobs tab (up to 9 each).</t>
        </is>
      </c>
    </row>
    <row r="3">
      <c r="A3" s="25" t="inlineStr">
        <is>
          <t>Mechanical Splice</t>
        </is>
      </c>
      <c r="B3" s="25" t="inlineStr">
        <is>
          <t>Crew B</t>
        </is>
      </c>
    </row>
    <row r="4">
      <c r="A4" s="25" t="inlineStr">
        <is>
          <t>Repair / Restore</t>
        </is>
      </c>
      <c r="B4" s="25" t="inlineStr">
        <is>
          <t>Crew C</t>
        </is>
      </c>
    </row>
    <row r="5">
      <c r="A5" s="25" t="inlineStr">
        <is>
          <t>Testing (OTDR)</t>
        </is>
      </c>
      <c r="B5" s="25" t="n"/>
    </row>
    <row r="6">
      <c r="A6" s="25" t="inlineStr">
        <is>
          <t>Enclosure Install</t>
        </is>
      </c>
      <c r="B6" s="25" t="n"/>
    </row>
    <row r="7">
      <c r="A7" s="25" t="n"/>
      <c r="B7" s="25" t="n"/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2026-09-25T02:22:09Z</dcterms:created>
  <dcterms:modified xsi:type="dcterms:W3CDTF">2026-09-25T02:22:09Z</dcterms:modified>
</cp:coreProperties>
</file>